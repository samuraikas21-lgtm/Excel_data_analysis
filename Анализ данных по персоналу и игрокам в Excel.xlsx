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mur\Downloads\Аналитика данных\"/>
    </mc:Choice>
  </mc:AlternateContent>
  <xr:revisionPtr revIDLastSave="0" documentId="13_ncr:1_{C4EBDF9D-B298-424A-B104-75B31733AA27}" xr6:coauthVersionLast="47" xr6:coauthVersionMax="47" xr10:uidLastSave="{00000000-0000-0000-0000-000000000000}"/>
  <bookViews>
    <workbookView xWindow="-108" yWindow="-108" windowWidth="23256" windowHeight="12456" activeTab="6" xr2:uid="{139C2535-C0EB-4BA5-B480-01067272E800}"/>
  </bookViews>
  <sheets>
    <sheet name="Источник 1" sheetId="1" r:id="rId1"/>
    <sheet name="Задания 1.1" sheetId="2" r:id="rId2"/>
    <sheet name="Задания 1.2" sheetId="3" r:id="rId3"/>
    <sheet name="Sheet1" sheetId="7" r:id="rId4"/>
    <sheet name="Источник 2" sheetId="4" r:id="rId5"/>
    <sheet name="Задание 2.1" sheetId="5" r:id="rId6"/>
    <sheet name="Задание Графики" sheetId="6" r:id="rId7"/>
  </sheets>
  <definedNames>
    <definedName name="_xlnm._FilterDatabase" localSheetId="6" hidden="1">'Задание Графики'!$B$30:$C$61</definedName>
    <definedName name="_xlnm._FilterDatabase" localSheetId="0" hidden="1">'Источник 1'!$A$3:$G$235</definedName>
  </definedNames>
  <calcPr calcId="191029"/>
  <pivotCaches>
    <pivotCache cacheId="0" r:id="rId8"/>
    <pivotCache cacheId="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6" l="1"/>
  <c r="C50" i="6"/>
  <c r="C37" i="6"/>
  <c r="C38" i="6"/>
  <c r="C39" i="6"/>
  <c r="C32" i="6"/>
  <c r="C33" i="6"/>
  <c r="C40" i="6"/>
  <c r="C41" i="6"/>
  <c r="C42" i="6"/>
  <c r="C43" i="6"/>
  <c r="C44" i="6"/>
  <c r="C45" i="6"/>
  <c r="C46" i="6"/>
  <c r="C47" i="6"/>
  <c r="C36" i="6"/>
  <c r="C48" i="6"/>
  <c r="C34" i="6"/>
  <c r="C35" i="6"/>
  <c r="C49" i="6"/>
  <c r="C60" i="6"/>
  <c r="C59" i="6"/>
  <c r="C58" i="6"/>
  <c r="C57" i="6"/>
  <c r="C56" i="6"/>
  <c r="C55" i="6"/>
  <c r="C54" i="6"/>
  <c r="C53" i="6"/>
  <c r="C52" i="6"/>
  <c r="C51" i="6"/>
  <c r="C31" i="6"/>
  <c r="L4" i="2"/>
  <c r="O43" i="2"/>
  <c r="O42" i="2"/>
  <c r="O41" i="2"/>
  <c r="O40" i="2"/>
  <c r="O39" i="2"/>
  <c r="O38" i="2"/>
  <c r="L43" i="2"/>
  <c r="L42" i="2"/>
  <c r="L41" i="2"/>
  <c r="L40" i="2"/>
  <c r="L38" i="2"/>
  <c r="L39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4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5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B235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4" i="2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</calcChain>
</file>

<file path=xl/sharedStrings.xml><?xml version="1.0" encoding="utf-8"?>
<sst xmlns="http://schemas.openxmlformats.org/spreadsheetml/2006/main" count="1780" uniqueCount="673">
  <si>
    <t>Miller</t>
  </si>
  <si>
    <t>Jennifer</t>
  </si>
  <si>
    <t>Senior Manager</t>
  </si>
  <si>
    <t>B01</t>
  </si>
  <si>
    <t>Rubin</t>
  </si>
  <si>
    <t>Thomas</t>
  </si>
  <si>
    <t>Software Engineer</t>
  </si>
  <si>
    <t>Smith</t>
  </si>
  <si>
    <t>Peter</t>
  </si>
  <si>
    <t>Programmer</t>
  </si>
  <si>
    <t>Coulter</t>
  </si>
  <si>
    <t>Tony</t>
  </si>
  <si>
    <t>Gupta</t>
  </si>
  <si>
    <t>Rajiv</t>
  </si>
  <si>
    <t>Manager</t>
  </si>
  <si>
    <t>Williams-Martinez</t>
  </si>
  <si>
    <t>Belinda</t>
  </si>
  <si>
    <t>Niedzwiecki</t>
  </si>
  <si>
    <t>Edward</t>
  </si>
  <si>
    <t>Wang</t>
  </si>
  <si>
    <t>Kenny</t>
  </si>
  <si>
    <t>Consultant</t>
  </si>
  <si>
    <t>Adams</t>
  </si>
  <si>
    <t>Frank</t>
  </si>
  <si>
    <t>Stephanie</t>
  </si>
  <si>
    <t>Mallory</t>
  </si>
  <si>
    <t>Petee</t>
  </si>
  <si>
    <t>Messer</t>
  </si>
  <si>
    <t>Hillary</t>
  </si>
  <si>
    <t>Fleming</t>
  </si>
  <si>
    <t>James</t>
  </si>
  <si>
    <t>Fisher</t>
  </si>
  <si>
    <t>Charles</t>
  </si>
  <si>
    <t>Johnson</t>
  </si>
  <si>
    <t>Barbara</t>
  </si>
  <si>
    <t>Software Analyst</t>
  </si>
  <si>
    <t>Software Developer</t>
  </si>
  <si>
    <t>Czarny</t>
  </si>
  <si>
    <t>Williams-Aikman</t>
  </si>
  <si>
    <t>Valerie</t>
  </si>
  <si>
    <t>Arnold</t>
  </si>
  <si>
    <t>Martinez</t>
  </si>
  <si>
    <t>Pedro</t>
  </si>
  <si>
    <t>Jessica</t>
  </si>
  <si>
    <t>Meredith</t>
  </si>
  <si>
    <t>Project Manager</t>
  </si>
  <si>
    <t>Rokovky</t>
  </si>
  <si>
    <t>Vladimir</t>
  </si>
  <si>
    <t>Jan</t>
  </si>
  <si>
    <t>System Engineer</t>
  </si>
  <si>
    <t>Amy</t>
  </si>
  <si>
    <t>Herbert</t>
  </si>
  <si>
    <t>Karine</t>
  </si>
  <si>
    <t>Banister</t>
  </si>
  <si>
    <t>Rodes</t>
  </si>
  <si>
    <t>Evans</t>
  </si>
  <si>
    <t>Adamson</t>
  </si>
  <si>
    <t>Brown</t>
  </si>
  <si>
    <t>Diane</t>
  </si>
  <si>
    <t>Horak</t>
  </si>
  <si>
    <t>Christine</t>
  </si>
  <si>
    <t>Amlan</t>
  </si>
  <si>
    <t>Gwen</t>
  </si>
  <si>
    <t>Karina</t>
  </si>
  <si>
    <t>Park</t>
  </si>
  <si>
    <t>Lee</t>
  </si>
  <si>
    <t>Sue</t>
  </si>
  <si>
    <t>Betty</t>
  </si>
  <si>
    <t>John</t>
  </si>
  <si>
    <t>B92</t>
  </si>
  <si>
    <t>Xiu</t>
  </si>
  <si>
    <t>Lu</t>
  </si>
  <si>
    <t>Xue</t>
  </si>
  <si>
    <t>Wei</t>
  </si>
  <si>
    <t>Krasny</t>
  </si>
  <si>
    <t>Igor</t>
  </si>
  <si>
    <t>Smidt</t>
  </si>
  <si>
    <t>Hans</t>
  </si>
  <si>
    <t>B77</t>
  </si>
  <si>
    <t>Mayer</t>
  </si>
  <si>
    <t>Inge</t>
  </si>
  <si>
    <t>Krebs</t>
  </si>
  <si>
    <t>Petra</t>
  </si>
  <si>
    <t>Becker</t>
  </si>
  <si>
    <t>Heike</t>
  </si>
  <si>
    <t>Deneuve</t>
  </si>
  <si>
    <t>Nicole</t>
  </si>
  <si>
    <t>B18</t>
  </si>
  <si>
    <t>Keller</t>
  </si>
  <si>
    <t>Louise</t>
  </si>
  <si>
    <t>Sullivan</t>
  </si>
  <si>
    <t>B19</t>
  </si>
  <si>
    <t>McDonald</t>
  </si>
  <si>
    <t>Potocki</t>
  </si>
  <si>
    <t>Stanislav</t>
  </si>
  <si>
    <t>B20</t>
  </si>
  <si>
    <t>Smyrna</t>
  </si>
  <si>
    <t>Olga</t>
  </si>
  <si>
    <t>Shevchenko</t>
  </si>
  <si>
    <t>Andrej</t>
  </si>
  <si>
    <t>OConnell</t>
  </si>
  <si>
    <t>Connolly</t>
  </si>
  <si>
    <t>Sean</t>
  </si>
  <si>
    <t>OBrien</t>
  </si>
  <si>
    <t>Marc</t>
  </si>
  <si>
    <t>Nowak</t>
  </si>
  <si>
    <t>Zofia</t>
  </si>
  <si>
    <t>B02</t>
  </si>
  <si>
    <t>Marja</t>
  </si>
  <si>
    <t>Kaczmarek</t>
  </si>
  <si>
    <t>Piotr</t>
  </si>
  <si>
    <t>B03</t>
  </si>
  <si>
    <t>Mazur</t>
  </si>
  <si>
    <t>Czaja</t>
  </si>
  <si>
    <t>Slawomir</t>
  </si>
  <si>
    <t>Kowalski</t>
  </si>
  <si>
    <t>Marek</t>
  </si>
  <si>
    <t>Dzik</t>
  </si>
  <si>
    <t>Marzena</t>
  </si>
  <si>
    <t>Kwiatkowski</t>
  </si>
  <si>
    <t>Tomasz</t>
  </si>
  <si>
    <t>Wilk</t>
  </si>
  <si>
    <t>Iwona</t>
  </si>
  <si>
    <t>Jaworska</t>
  </si>
  <si>
    <t>Grazyna</t>
  </si>
  <si>
    <t>Wilczynska</t>
  </si>
  <si>
    <t>Elrzbieta</t>
  </si>
  <si>
    <t>Wilczynska-Popov</t>
  </si>
  <si>
    <t>Helena</t>
  </si>
  <si>
    <t>B41</t>
  </si>
  <si>
    <t>Jankowski</t>
  </si>
  <si>
    <t>Kazimierz</t>
  </si>
  <si>
    <t>Zawacki</t>
  </si>
  <si>
    <t>Sokolov</t>
  </si>
  <si>
    <t>Ivan</t>
  </si>
  <si>
    <t>Petrov</t>
  </si>
  <si>
    <t>Bogdanov</t>
  </si>
  <si>
    <t>Volkowa</t>
  </si>
  <si>
    <t>Swetlana</t>
  </si>
  <si>
    <t>Makowski</t>
  </si>
  <si>
    <t>Nikolajewa</t>
  </si>
  <si>
    <t>Natasha</t>
  </si>
  <si>
    <t>Kuzniecowa</t>
  </si>
  <si>
    <t>Alla</t>
  </si>
  <si>
    <t>Czech</t>
  </si>
  <si>
    <t>Natalia</t>
  </si>
  <si>
    <t>Kukulska</t>
  </si>
  <si>
    <t>Anna</t>
  </si>
  <si>
    <t>Balog</t>
  </si>
  <si>
    <t>Eszter</t>
  </si>
  <si>
    <t>B42</t>
  </si>
  <si>
    <t>Kaminski</t>
  </si>
  <si>
    <t>Mariusz</t>
  </si>
  <si>
    <t>Gwiazda</t>
  </si>
  <si>
    <t>Gomez</t>
  </si>
  <si>
    <t>Gonzalez</t>
  </si>
  <si>
    <t>Mario</t>
  </si>
  <si>
    <t>Jelen</t>
  </si>
  <si>
    <t>Maryla</t>
  </si>
  <si>
    <t>Zielonka</t>
  </si>
  <si>
    <t>Wioletta</t>
  </si>
  <si>
    <t>Silwer</t>
  </si>
  <si>
    <t>Mateusz</t>
  </si>
  <si>
    <t>B43</t>
  </si>
  <si>
    <t>Horvat</t>
  </si>
  <si>
    <t>Darko</t>
  </si>
  <si>
    <t>Golob</t>
  </si>
  <si>
    <t>Slavko</t>
  </si>
  <si>
    <t>Piotrowski</t>
  </si>
  <si>
    <t>Stefan</t>
  </si>
  <si>
    <t>Bialy</t>
  </si>
  <si>
    <t>Andrzej</t>
  </si>
  <si>
    <t>Kaufman</t>
  </si>
  <si>
    <t>Josef</t>
  </si>
  <si>
    <t>Bogucki</t>
  </si>
  <si>
    <t>Antonio</t>
  </si>
  <si>
    <t>B44</t>
  </si>
  <si>
    <t>Ruiz</t>
  </si>
  <si>
    <t>Pablo</t>
  </si>
  <si>
    <t>Diaz</t>
  </si>
  <si>
    <t>Alfredo</t>
  </si>
  <si>
    <t>Babicz</t>
  </si>
  <si>
    <t>Monika</t>
  </si>
  <si>
    <t>Moreno</t>
  </si>
  <si>
    <t>Romero</t>
  </si>
  <si>
    <t>Jones</t>
  </si>
  <si>
    <t>Luc</t>
  </si>
  <si>
    <t>Williams</t>
  </si>
  <si>
    <t>Andrea</t>
  </si>
  <si>
    <t>William</t>
  </si>
  <si>
    <t>Luciana</t>
  </si>
  <si>
    <t>Molina</t>
  </si>
  <si>
    <t>Isabel</t>
  </si>
  <si>
    <t>Szymanska</t>
  </si>
  <si>
    <t>Laura</t>
  </si>
  <si>
    <t>B45</t>
  </si>
  <si>
    <t>Debra</t>
  </si>
  <si>
    <t>Goldman</t>
  </si>
  <si>
    <t>B46</t>
  </si>
  <si>
    <t>Delgardo</t>
  </si>
  <si>
    <t>Kowal</t>
  </si>
  <si>
    <t>Wladyslaw</t>
  </si>
  <si>
    <t>Lis</t>
  </si>
  <si>
    <t>Adam</t>
  </si>
  <si>
    <t>B47</t>
  </si>
  <si>
    <t>Lebedev</t>
  </si>
  <si>
    <t>Nikolay</t>
  </si>
  <si>
    <t>Golubeva</t>
  </si>
  <si>
    <t>Zaytseva</t>
  </si>
  <si>
    <t>Marina</t>
  </si>
  <si>
    <t>Golubev</t>
  </si>
  <si>
    <t>Konstantin</t>
  </si>
  <si>
    <t>B48</t>
  </si>
  <si>
    <t>Morozov</t>
  </si>
  <si>
    <t>Yuri</t>
  </si>
  <si>
    <t>Kuznecov</t>
  </si>
  <si>
    <t>Leonid</t>
  </si>
  <si>
    <t>Bronconi</t>
  </si>
  <si>
    <t>Mike</t>
  </si>
  <si>
    <t>Novikova</t>
  </si>
  <si>
    <t>Tatjana</t>
  </si>
  <si>
    <t>B17</t>
  </si>
  <si>
    <t>Dimitry</t>
  </si>
  <si>
    <t>Novikov</t>
  </si>
  <si>
    <t>Boris</t>
  </si>
  <si>
    <t>Pyotr</t>
  </si>
  <si>
    <t>Ivanov</t>
  </si>
  <si>
    <t>Sergey</t>
  </si>
  <si>
    <t>Martin</t>
  </si>
  <si>
    <t>Jaworski</t>
  </si>
  <si>
    <t>B55</t>
  </si>
  <si>
    <t>Glinka</t>
  </si>
  <si>
    <t>Orlowska</t>
  </si>
  <si>
    <t>Wietrzycki</t>
  </si>
  <si>
    <t>Niki</t>
  </si>
  <si>
    <t>B08</t>
  </si>
  <si>
    <t>Papadopoulos</t>
  </si>
  <si>
    <t>Georgos</t>
  </si>
  <si>
    <t>B09</t>
  </si>
  <si>
    <t>Helga</t>
  </si>
  <si>
    <t>Jung</t>
  </si>
  <si>
    <t>Karin</t>
  </si>
  <si>
    <t>von Boroski</t>
  </si>
  <si>
    <t>Katja</t>
  </si>
  <si>
    <t>Steiner</t>
  </si>
  <si>
    <t>Leitner</t>
  </si>
  <si>
    <t>Garcia</t>
  </si>
  <si>
    <t>Franklin</t>
  </si>
  <si>
    <t>B61</t>
  </si>
  <si>
    <t>Lopez</t>
  </si>
  <si>
    <t>Rodov</t>
  </si>
  <si>
    <t>Wolniak</t>
  </si>
  <si>
    <t>Henryk</t>
  </si>
  <si>
    <t>Szajnowicz</t>
  </si>
  <si>
    <t>Malinowska</t>
  </si>
  <si>
    <t>Matysiak</t>
  </si>
  <si>
    <t>Piotrowska</t>
  </si>
  <si>
    <t>Birkut</t>
  </si>
  <si>
    <t>Wozniak</t>
  </si>
  <si>
    <t>Fronczak</t>
  </si>
  <si>
    <t>Pardo</t>
  </si>
  <si>
    <t>Davis</t>
  </si>
  <si>
    <t>Babinicz</t>
  </si>
  <si>
    <t>Mariola</t>
  </si>
  <si>
    <t>Kopyto</t>
  </si>
  <si>
    <t>Scott</t>
  </si>
  <si>
    <t>Reid</t>
  </si>
  <si>
    <t>Watson</t>
  </si>
  <si>
    <t>Gray</t>
  </si>
  <si>
    <t>Brittany</t>
  </si>
  <si>
    <t>Walker</t>
  </si>
  <si>
    <t>Grant</t>
  </si>
  <si>
    <t>Calvin</t>
  </si>
  <si>
    <t>Kwiatkowska</t>
  </si>
  <si>
    <t>Malgorzata</t>
  </si>
  <si>
    <t>Alan</t>
  </si>
  <si>
    <t>Brigid</t>
  </si>
  <si>
    <t>Vicky</t>
  </si>
  <si>
    <t>Kwiatek</t>
  </si>
  <si>
    <t>Margot</t>
  </si>
  <si>
    <t>Wilson</t>
  </si>
  <si>
    <t>Patricia</t>
  </si>
  <si>
    <t>B90</t>
  </si>
  <si>
    <t>Harris</t>
  </si>
  <si>
    <t>Daniel</t>
  </si>
  <si>
    <t>Robinson</t>
  </si>
  <si>
    <t>Amanda</t>
  </si>
  <si>
    <t>Nguyen</t>
  </si>
  <si>
    <t>Francesca</t>
  </si>
  <si>
    <t>B89</t>
  </si>
  <si>
    <t>Kelly</t>
  </si>
  <si>
    <t>Christopher</t>
  </si>
  <si>
    <t>Phan</t>
  </si>
  <si>
    <t>Victoria</t>
  </si>
  <si>
    <t>Strzelecki</t>
  </si>
  <si>
    <t>B88</t>
  </si>
  <si>
    <t>Fujiwara</t>
  </si>
  <si>
    <t>Katz</t>
  </si>
  <si>
    <t>Robert</t>
  </si>
  <si>
    <t>B87</t>
  </si>
  <si>
    <t>Sakamoto</t>
  </si>
  <si>
    <t>Noriko</t>
  </si>
  <si>
    <t>Rybacki</t>
  </si>
  <si>
    <t>Wlodzimierz</t>
  </si>
  <si>
    <t>Sowa</t>
  </si>
  <si>
    <t>Teresa</t>
  </si>
  <si>
    <t>Green</t>
  </si>
  <si>
    <t>Pauline</t>
  </si>
  <si>
    <t>Hall</t>
  </si>
  <si>
    <t>Dabrowska-Brown</t>
  </si>
  <si>
    <t>Hannah</t>
  </si>
  <si>
    <t>B86</t>
  </si>
  <si>
    <t>Natalie</t>
  </si>
  <si>
    <t>Zawacka</t>
  </si>
  <si>
    <t>Magda</t>
  </si>
  <si>
    <t>Henry</t>
  </si>
  <si>
    <t>Volkov</t>
  </si>
  <si>
    <t>Martha</t>
  </si>
  <si>
    <t>Verma</t>
  </si>
  <si>
    <t>Anil</t>
  </si>
  <si>
    <t>B85</t>
  </si>
  <si>
    <t>Malhotra</t>
  </si>
  <si>
    <t>B84</t>
  </si>
  <si>
    <t>Bhatnagar</t>
  </si>
  <si>
    <t>B83</t>
  </si>
  <si>
    <t>Singh</t>
  </si>
  <si>
    <t>Shah</t>
  </si>
  <si>
    <t>Kapur</t>
  </si>
  <si>
    <t>Faisal</t>
  </si>
  <si>
    <t>Brzoza</t>
  </si>
  <si>
    <t>Zalewska</t>
  </si>
  <si>
    <t>Sinha</t>
  </si>
  <si>
    <t>Safi</t>
  </si>
  <si>
    <t xml:space="preserve">Agrawal </t>
  </si>
  <si>
    <t>Sema</t>
  </si>
  <si>
    <t>Bobby</t>
  </si>
  <si>
    <t>Saxena</t>
  </si>
  <si>
    <t>Rajat</t>
  </si>
  <si>
    <t>Jaiswal</t>
  </si>
  <si>
    <t>Jonny</t>
  </si>
  <si>
    <t>Aggarwal</t>
  </si>
  <si>
    <t>Sanjay</t>
  </si>
  <si>
    <t>Sharma</t>
  </si>
  <si>
    <t>Sunil</t>
  </si>
  <si>
    <t>Mainak</t>
  </si>
  <si>
    <t>Krasna</t>
  </si>
  <si>
    <t>B82</t>
  </si>
  <si>
    <t>Chatterjee</t>
  </si>
  <si>
    <t>Jagannath</t>
  </si>
  <si>
    <t>Maslow</t>
  </si>
  <si>
    <t>Wisniewski</t>
  </si>
  <si>
    <t>B81</t>
  </si>
  <si>
    <t>Kowalska</t>
  </si>
  <si>
    <t>Gordon</t>
  </si>
  <si>
    <t>David</t>
  </si>
  <si>
    <t>ID</t>
  </si>
  <si>
    <t>Фамилия</t>
  </si>
  <si>
    <t>Имя</t>
  </si>
  <si>
    <t>Должность</t>
  </si>
  <si>
    <t>Зарплата</t>
  </si>
  <si>
    <t>Бонус</t>
  </si>
  <si>
    <t>Фамилия + Имя</t>
  </si>
  <si>
    <t>Бизнес-юнит</t>
  </si>
  <si>
    <t>ВПР</t>
  </si>
  <si>
    <t>Сцепить</t>
  </si>
  <si>
    <t>Создайте Сводную таблицу используя таблицу с Источника. Сводная таблица похожая на Рисунок 1 (ниже)</t>
  </si>
  <si>
    <t>Бизнес - юнит</t>
  </si>
  <si>
    <t>Получил бонус?</t>
  </si>
  <si>
    <t>Если</t>
  </si>
  <si>
    <t>Сумма зарплаты</t>
  </si>
  <si>
    <t>СУММЕСЛИ</t>
  </si>
  <si>
    <t>Количество Бонусов</t>
  </si>
  <si>
    <t>Сумма бонусов</t>
  </si>
  <si>
    <t>Сумма Бонусов</t>
  </si>
  <si>
    <t>Средняя Зарплата</t>
  </si>
  <si>
    <t>Максимальная Зарплата</t>
  </si>
  <si>
    <t>Минимальная Зарплата</t>
  </si>
  <si>
    <t>Сумма Зарплата</t>
  </si>
  <si>
    <t>Средний Бонус</t>
  </si>
  <si>
    <t>Максимальний Бонус</t>
  </si>
  <si>
    <t>Минимальний Бонус</t>
  </si>
  <si>
    <t>Сколько человек получили макс зп?</t>
  </si>
  <si>
    <t>Сколько человек получили мин зп?</t>
  </si>
  <si>
    <t>Сколько человек получили макс Бонус?</t>
  </si>
  <si>
    <t>Сколько человек получили мин Бонус?</t>
  </si>
  <si>
    <t xml:space="preserve"> </t>
  </si>
  <si>
    <t>Команда</t>
  </si>
  <si>
    <t>Страна</t>
  </si>
  <si>
    <t>Вес</t>
  </si>
  <si>
    <t>Рост</t>
  </si>
  <si>
    <t>День Рождения</t>
  </si>
  <si>
    <t>Город</t>
  </si>
  <si>
    <t>Позиция</t>
  </si>
  <si>
    <t>Возраст</t>
  </si>
  <si>
    <t>Столбец1</t>
  </si>
  <si>
    <t>Женщина</t>
  </si>
  <si>
    <t>Канада</t>
  </si>
  <si>
    <t>Meghan</t>
  </si>
  <si>
    <t>Agosta</t>
  </si>
  <si>
    <t>Ruthven</t>
  </si>
  <si>
    <t>Forward</t>
  </si>
  <si>
    <t>Rebecca</t>
  </si>
  <si>
    <t>Johnston</t>
  </si>
  <si>
    <t>Sudbury</t>
  </si>
  <si>
    <t>Stacey</t>
  </si>
  <si>
    <t>Kleinburg</t>
  </si>
  <si>
    <t>Wakefield</t>
  </si>
  <si>
    <t>Pickering</t>
  </si>
  <si>
    <t>Jillian</t>
  </si>
  <si>
    <t>Saulnier</t>
  </si>
  <si>
    <t>Halifax</t>
  </si>
  <si>
    <t>Mélodie</t>
  </si>
  <si>
    <t>Daoust</t>
  </si>
  <si>
    <t>Valleyfield</t>
  </si>
  <si>
    <t>Bailey</t>
  </si>
  <si>
    <t>Bram</t>
  </si>
  <si>
    <t>St. Anne</t>
  </si>
  <si>
    <t>Brianne</t>
  </si>
  <si>
    <t>Jenner</t>
  </si>
  <si>
    <t>Oakville</t>
  </si>
  <si>
    <t>Sarah</t>
  </si>
  <si>
    <t>Nurse</t>
  </si>
  <si>
    <t>Hamilton</t>
  </si>
  <si>
    <t>Haley</t>
  </si>
  <si>
    <t>Irwin</t>
  </si>
  <si>
    <t>Thunder Bay</t>
  </si>
  <si>
    <t>Spooner</t>
  </si>
  <si>
    <t>Scarborough</t>
  </si>
  <si>
    <t>Emily</t>
  </si>
  <si>
    <t>Clark</t>
  </si>
  <si>
    <t>Saskatoon</t>
  </si>
  <si>
    <t>Marie-Philip</t>
  </si>
  <si>
    <t>Poulin</t>
  </si>
  <si>
    <t>Beauceville</t>
  </si>
  <si>
    <t>Blayre</t>
  </si>
  <si>
    <t>Turnbull</t>
  </si>
  <si>
    <t>Stellarton</t>
  </si>
  <si>
    <t>Jocelyne</t>
  </si>
  <si>
    <t>Larocque</t>
  </si>
  <si>
    <t>Ste. Anne</t>
  </si>
  <si>
    <t>Defence</t>
  </si>
  <si>
    <t>Brigette</t>
  </si>
  <si>
    <t>Lacquette</t>
  </si>
  <si>
    <t>Mallard</t>
  </si>
  <si>
    <t>Lauriane</t>
  </si>
  <si>
    <t>Rougeau</t>
  </si>
  <si>
    <t>Beaconsfield</t>
  </si>
  <si>
    <t>Fortino</t>
  </si>
  <si>
    <t>Meaghan</t>
  </si>
  <si>
    <t>Mikkelson</t>
  </si>
  <si>
    <t>St. Albert</t>
  </si>
  <si>
    <t>Renata</t>
  </si>
  <si>
    <t>Fast</t>
  </si>
  <si>
    <t>Burlington</t>
  </si>
  <si>
    <t>Shannon</t>
  </si>
  <si>
    <t>Szabados</t>
  </si>
  <si>
    <t>Edmonton</t>
  </si>
  <si>
    <t>Goalie</t>
  </si>
  <si>
    <t>Geneviève</t>
  </si>
  <si>
    <t>Lacasse</t>
  </si>
  <si>
    <t>Kingston</t>
  </si>
  <si>
    <t>Ann-Renée</t>
  </si>
  <si>
    <t>Desbiens</t>
  </si>
  <si>
    <t>La Malbaie</t>
  </si>
  <si>
    <t>Мужчина</t>
  </si>
  <si>
    <t>Gilbert</t>
  </si>
  <si>
    <t>Brulé</t>
  </si>
  <si>
    <t>Vancouver</t>
  </si>
  <si>
    <t>Wojtek</t>
  </si>
  <si>
    <t>Wolski</t>
  </si>
  <si>
    <t>Toronto</t>
  </si>
  <si>
    <t>Derek</t>
  </si>
  <si>
    <t>Roy</t>
  </si>
  <si>
    <t>Rockland</t>
  </si>
  <si>
    <t>Chris</t>
  </si>
  <si>
    <t>Rob</t>
  </si>
  <si>
    <t>Klinkhammer</t>
  </si>
  <si>
    <t>Lethbridge</t>
  </si>
  <si>
    <t>Brandon</t>
  </si>
  <si>
    <t>Kozun</t>
  </si>
  <si>
    <t>Calgary</t>
  </si>
  <si>
    <t>Quinton</t>
  </si>
  <si>
    <t>Howden</t>
  </si>
  <si>
    <t>Oakbank</t>
  </si>
  <si>
    <t>René</t>
  </si>
  <si>
    <t>Bourque</t>
  </si>
  <si>
    <t>Lac La Biche</t>
  </si>
  <si>
    <t>Andrew</t>
  </si>
  <si>
    <t>Ebbett</t>
  </si>
  <si>
    <t>Vernon</t>
  </si>
  <si>
    <t>Mason</t>
  </si>
  <si>
    <t>Raymond</t>
  </si>
  <si>
    <t>Cochrane</t>
  </si>
  <si>
    <t>Eric</t>
  </si>
  <si>
    <t>O’Dell</t>
  </si>
  <si>
    <t>Ottawa</t>
  </si>
  <si>
    <t>Maxim</t>
  </si>
  <si>
    <t>Lapierre</t>
  </si>
  <si>
    <t>Brossard</t>
  </si>
  <si>
    <t>Linden</t>
  </si>
  <si>
    <t>Vey</t>
  </si>
  <si>
    <t>Wakaw</t>
  </si>
  <si>
    <t>Christian</t>
  </si>
  <si>
    <t>Karl</t>
  </si>
  <si>
    <t>Stollery</t>
  </si>
  <si>
    <t>Camrose</t>
  </si>
  <si>
    <t>MacTier</t>
  </si>
  <si>
    <t>Chay</t>
  </si>
  <si>
    <t>Genoway</t>
  </si>
  <si>
    <t>Morden</t>
  </si>
  <si>
    <t>Marc-Andre</t>
  </si>
  <si>
    <t>Gragnani</t>
  </si>
  <si>
    <t>L’Île-Bizard</t>
  </si>
  <si>
    <t>Elliott</t>
  </si>
  <si>
    <t>Cody</t>
  </si>
  <si>
    <t>Goloubef</t>
  </si>
  <si>
    <t>Mat</t>
  </si>
  <si>
    <t>Noreau</t>
  </si>
  <si>
    <t>Montreal</t>
  </si>
  <si>
    <t>Ben</t>
  </si>
  <si>
    <t>Scrivens</t>
  </si>
  <si>
    <t>Spruce Grove</t>
  </si>
  <si>
    <t>Kevin</t>
  </si>
  <si>
    <t>Justin</t>
  </si>
  <si>
    <t>Peters</t>
  </si>
  <si>
    <t>Blyth</t>
  </si>
  <si>
    <t>США</t>
  </si>
  <si>
    <t>Cayla</t>
  </si>
  <si>
    <t>Barnes</t>
  </si>
  <si>
    <t>Eastvale</t>
  </si>
  <si>
    <t>Kacey</t>
  </si>
  <si>
    <t>Bellamy</t>
  </si>
  <si>
    <t>Westfield</t>
  </si>
  <si>
    <t>Brandt</t>
  </si>
  <si>
    <t>Vadnais Heights</t>
  </si>
  <si>
    <t>Dani</t>
  </si>
  <si>
    <t>Cameranesi</t>
  </si>
  <si>
    <t>Plymouth</t>
  </si>
  <si>
    <t>Kendall</t>
  </si>
  <si>
    <t>Coyne</t>
  </si>
  <si>
    <t>Palos Heights</t>
  </si>
  <si>
    <t>Brianna</t>
  </si>
  <si>
    <t>Decker</t>
  </si>
  <si>
    <t>Dousman</t>
  </si>
  <si>
    <t>Duggan</t>
  </si>
  <si>
    <t>Danvers</t>
  </si>
  <si>
    <t>Kali</t>
  </si>
  <si>
    <t>Flanagan</t>
  </si>
  <si>
    <t>Hensley</t>
  </si>
  <si>
    <t>Lakewood</t>
  </si>
  <si>
    <t>Megan</t>
  </si>
  <si>
    <t>Farmington</t>
  </si>
  <si>
    <t>Kessel</t>
  </si>
  <si>
    <t>Madison</t>
  </si>
  <si>
    <t>Hilary</t>
  </si>
  <si>
    <t>Knight</t>
  </si>
  <si>
    <t>Sun Valley</t>
  </si>
  <si>
    <t>Lamoureux-Davidson</t>
  </si>
  <si>
    <t>Grand Forks</t>
  </si>
  <si>
    <t>Monique</t>
  </si>
  <si>
    <t>Lamoureux-Morando</t>
  </si>
  <si>
    <t>Gigi</t>
  </si>
  <si>
    <t>Marvin</t>
  </si>
  <si>
    <t>Warroad</t>
  </si>
  <si>
    <t>Sidney</t>
  </si>
  <si>
    <t>Morin</t>
  </si>
  <si>
    <t>Minnetonka</t>
  </si>
  <si>
    <t>Pannek</t>
  </si>
  <si>
    <t>Pelkey</t>
  </si>
  <si>
    <t>Montpelier</t>
  </si>
  <si>
    <t>Pfalzer</t>
  </si>
  <si>
    <t>Buffalo</t>
  </si>
  <si>
    <t>Alex</t>
  </si>
  <si>
    <t>Rigsby</t>
  </si>
  <si>
    <t>Delafield</t>
  </si>
  <si>
    <t>Maddie</t>
  </si>
  <si>
    <t>Rooney</t>
  </si>
  <si>
    <t>Andover</t>
  </si>
  <si>
    <t>Skarupa</t>
  </si>
  <si>
    <t>Rockville</t>
  </si>
  <si>
    <t>Stecklein</t>
  </si>
  <si>
    <t>Roseville</t>
  </si>
  <si>
    <t>Mark</t>
  </si>
  <si>
    <t>Arcobello</t>
  </si>
  <si>
    <t>Milford</t>
  </si>
  <si>
    <t>Chad</t>
  </si>
  <si>
    <t>Billins</t>
  </si>
  <si>
    <t>Marysville</t>
  </si>
  <si>
    <t>Jonathan</t>
  </si>
  <si>
    <t>Blum</t>
  </si>
  <si>
    <t>Ladera Ranch</t>
  </si>
  <si>
    <t>Will</t>
  </si>
  <si>
    <t>Borgen</t>
  </si>
  <si>
    <t>Moorhead</t>
  </si>
  <si>
    <t>North Reading</t>
  </si>
  <si>
    <t>Butler</t>
  </si>
  <si>
    <t>Marlborough</t>
  </si>
  <si>
    <t>Ryan</t>
  </si>
  <si>
    <t>Donato</t>
  </si>
  <si>
    <t>Scituate</t>
  </si>
  <si>
    <t>Matt</t>
  </si>
  <si>
    <t>Gilroy</t>
  </si>
  <si>
    <t>Bellmore</t>
  </si>
  <si>
    <t>Brian</t>
  </si>
  <si>
    <t>Gionta</t>
  </si>
  <si>
    <t>Rochester</t>
  </si>
  <si>
    <t>Jordan</t>
  </si>
  <si>
    <t>Greenway</t>
  </si>
  <si>
    <t>Canton</t>
  </si>
  <si>
    <t>Gunderson</t>
  </si>
  <si>
    <t>Bensalem</t>
  </si>
  <si>
    <t>Kolarik</t>
  </si>
  <si>
    <t>Abington</t>
  </si>
  <si>
    <t>Leggio</t>
  </si>
  <si>
    <t>Broc</t>
  </si>
  <si>
    <t>Little</t>
  </si>
  <si>
    <t>Rindge</t>
  </si>
  <si>
    <t>Maxwell</t>
  </si>
  <si>
    <t>Winter Park</t>
  </si>
  <si>
    <t>McCarthy</t>
  </si>
  <si>
    <t>Boston</t>
  </si>
  <si>
    <t>O'Neill</t>
  </si>
  <si>
    <t>Yardley</t>
  </si>
  <si>
    <t>Garrett</t>
  </si>
  <si>
    <t>Roe</t>
  </si>
  <si>
    <t>Vienna</t>
  </si>
  <si>
    <t>Sanguinetti</t>
  </si>
  <si>
    <t>Wilmington</t>
  </si>
  <si>
    <t>Jim</t>
  </si>
  <si>
    <t>Slater</t>
  </si>
  <si>
    <t>Lapeer</t>
  </si>
  <si>
    <t>Stoa</t>
  </si>
  <si>
    <t>Bloomington</t>
  </si>
  <si>
    <t>Troy</t>
  </si>
  <si>
    <t>Terry</t>
  </si>
  <si>
    <t>Highlands Ranch</t>
  </si>
  <si>
    <t>Noah</t>
  </si>
  <si>
    <t>Welch</t>
  </si>
  <si>
    <t>Brighton</t>
  </si>
  <si>
    <t>Zapolski</t>
  </si>
  <si>
    <t>Erie</t>
  </si>
  <si>
    <t>Женщины</t>
  </si>
  <si>
    <t>Мужчины</t>
  </si>
  <si>
    <t>Средний вес</t>
  </si>
  <si>
    <t>Средний рост</t>
  </si>
  <si>
    <t>Средний возраст</t>
  </si>
  <si>
    <t>Ниже 170</t>
  </si>
  <si>
    <t>Выше 170</t>
  </si>
  <si>
    <t>Количество</t>
  </si>
  <si>
    <t>Заполните таблицы информацией с Источника</t>
  </si>
  <si>
    <t>Задание на креатив: Создайте 4 разных графика, используя данные с Источника 1 и Источник 2 (не забудьте добавить Наименование, Легенды и тд и тп)</t>
  </si>
  <si>
    <r>
      <t>СЧЕТЕСЛИ</t>
    </r>
    <r>
      <rPr>
        <b/>
        <sz val="11"/>
        <color rgb="FFFF0000"/>
        <rFont val="Calibri"/>
        <family val="2"/>
        <charset val="204"/>
        <scheme val="minor"/>
      </rPr>
      <t>МН</t>
    </r>
  </si>
  <si>
    <t>СВОДНАЯ ТАБЛИЦА В СЛЕД. ЛИСТЕ-&gt; SHEET1</t>
  </si>
  <si>
    <t>Row Labels</t>
  </si>
  <si>
    <t>Grand Total</t>
  </si>
  <si>
    <t>Column Labels</t>
  </si>
  <si>
    <t>Sum of Зарплата</t>
  </si>
  <si>
    <t>Count of ID</t>
  </si>
  <si>
    <t>Total Count of ID</t>
  </si>
  <si>
    <t>Total Average of Рост</t>
  </si>
  <si>
    <t>Average of Рост</t>
  </si>
  <si>
    <t>Total Average of Возраст</t>
  </si>
  <si>
    <t>Average of Возраст</t>
  </si>
  <si>
    <t>Total Average of Вес</t>
  </si>
  <si>
    <t>Average of Вес</t>
  </si>
  <si>
    <t>Канада Total</t>
  </si>
  <si>
    <t>США Total</t>
  </si>
  <si>
    <t>Count of Позиция</t>
  </si>
  <si>
    <t>(All)</t>
  </si>
  <si>
    <t>Business-unit</t>
  </si>
  <si>
    <t>Average salary</t>
  </si>
  <si>
    <t>Woman</t>
  </si>
  <si>
    <t>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</si>
</sst>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4" fontId="0" fillId="0" borderId="0" xfId="0" applyNumberFormat="1"/>
    <xf numFmtId="0" fontId="0" fillId="3" borderId="0" xfId="0" applyFill="1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4" borderId="0" xfId="0" applyFont="1" applyFill="1"/>
    <xf numFmtId="0" fontId="5" fillId="6" borderId="0" xfId="0" applyFont="1" applyFill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3" fillId="4" borderId="1" xfId="0" applyFont="1" applyFill="1" applyBorder="1"/>
    <xf numFmtId="0" fontId="4" fillId="5" borderId="1" xfId="0" applyFont="1" applyFill="1" applyBorder="1"/>
    <xf numFmtId="1" fontId="3" fillId="4" borderId="1" xfId="0" applyNumberFormat="1" applyFont="1" applyFill="1" applyBorder="1"/>
    <xf numFmtId="1" fontId="4" fillId="5" borderId="1" xfId="0" applyNumberFormat="1" applyFont="1" applyFill="1" applyBorder="1"/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NumberFormat="1"/>
    <xf numFmtId="0" fontId="1" fillId="9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NumberFormat="1" applyFill="1" applyBorder="1"/>
  </cellXfs>
  <cellStyles count="1">
    <cellStyle name="Normal" xfId="0" builtinId="0"/>
  </cellStyles>
  <dxfs count="58"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04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04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04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charset val="204"/>
        <scheme val="minor"/>
      </font>
      <fill>
        <patternFill patternType="solid">
          <fgColor indexed="65"/>
          <bgColor rgb="FFFFEB9C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204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charset val="204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04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04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165" formatCode="m/d/yyyy"/>
    </dxf>
    <dxf>
      <numFmt numFmtId="165" formatCode="m/d/yyyy"/>
    </dxf>
    <dxf>
      <numFmt numFmtId="165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C1CE4"/>
      <color rgb="FFFF09B3"/>
      <color rgb="FFE11FC5"/>
      <color rgb="FF6334CC"/>
      <color rgb="FF7DE34F"/>
      <color rgb="FFFF5757"/>
      <color rgb="FFEE96EE"/>
      <color rgb="FF67F9F9"/>
      <color rgb="FFF565B0"/>
      <color rgb="FF8432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[Садуова Нурай, домашнее задание 1.xlsx]Задание Графики!PivotTable3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2060"/>
                </a:solidFill>
              </a:rPr>
              <a:t>Company's staff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6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36485685303296E-2"/>
          <c:y val="0.19459557073033115"/>
          <c:w val="0.89818363988943384"/>
          <c:h val="0.55075539604588364"/>
        </c:manualLayout>
      </c:layout>
      <c:lineChart>
        <c:grouping val="standard"/>
        <c:varyColors val="0"/>
        <c:ser>
          <c:idx val="0"/>
          <c:order val="0"/>
          <c:tx>
            <c:strRef>
              <c:f>'Задание Графики'!$C$4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'Задание Графики'!$B$5:$B$14</c:f>
              <c:strCache>
                <c:ptCount val="9"/>
                <c:pt idx="0">
                  <c:v>Consultant</c:v>
                </c:pt>
                <c:pt idx="1">
                  <c:v>Manager</c:v>
                </c:pt>
                <c:pt idx="2">
                  <c:v>Programmer</c:v>
                </c:pt>
                <c:pt idx="3">
                  <c:v>Project Manager</c:v>
                </c:pt>
                <c:pt idx="4">
                  <c:v>Senior Manager</c:v>
                </c:pt>
                <c:pt idx="5">
                  <c:v>Software Analyst</c:v>
                </c:pt>
                <c:pt idx="6">
                  <c:v>Software Developer</c:v>
                </c:pt>
                <c:pt idx="7">
                  <c:v>Software Engineer</c:v>
                </c:pt>
                <c:pt idx="8">
                  <c:v>System Engineer</c:v>
                </c:pt>
              </c:strCache>
            </c:strRef>
          </c:cat>
          <c:val>
            <c:numRef>
              <c:f>'Задание Графики'!$C$5:$C$14</c:f>
              <c:numCache>
                <c:formatCode>General</c:formatCode>
                <c:ptCount val="9"/>
                <c:pt idx="0">
                  <c:v>81</c:v>
                </c:pt>
                <c:pt idx="1">
                  <c:v>5</c:v>
                </c:pt>
                <c:pt idx="2">
                  <c:v>64</c:v>
                </c:pt>
                <c:pt idx="3">
                  <c:v>12</c:v>
                </c:pt>
                <c:pt idx="4">
                  <c:v>32</c:v>
                </c:pt>
                <c:pt idx="5">
                  <c:v>11</c:v>
                </c:pt>
                <c:pt idx="6">
                  <c:v>14</c:v>
                </c:pt>
                <c:pt idx="7">
                  <c:v>3</c:v>
                </c:pt>
                <c:pt idx="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8D-482B-AB8C-A7512CB89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1778965744"/>
        <c:axId val="2097707824"/>
      </c:lineChart>
      <c:catAx>
        <c:axId val="1778965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Position</a:t>
                </a:r>
                <a:endParaRPr lang="en-US" sz="14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8642420584101081"/>
              <c:y val="0.847470244044992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707824"/>
        <c:crosses val="autoZero"/>
        <c:auto val="1"/>
        <c:lblAlgn val="ctr"/>
        <c:lblOffset val="100"/>
        <c:noMultiLvlLbl val="0"/>
      </c:catAx>
      <c:valAx>
        <c:axId val="20977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Employees</a:t>
                </a:r>
                <a:endParaRPr lang="en-US" sz="14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0583465250862522E-2"/>
              <c:y val="0.377965751361641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896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Salaries</a:t>
            </a:r>
            <a:r>
              <a:rPr lang="en-US" b="1" baseline="0">
                <a:solidFill>
                  <a:sysClr val="windowText" lastClr="000000"/>
                </a:solidFill>
              </a:rPr>
              <a:t> in various business units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8674706456578"/>
          <c:y val="8.4672640141225802E-2"/>
          <c:w val="0.86622735939675399"/>
          <c:h val="0.716785852373846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'Задание Графики'!$B$31</c:f>
              <c:strCache>
                <c:ptCount val="1"/>
                <c:pt idx="0">
                  <c:v>B01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Графики'!$C$31</c:f>
              <c:numCache>
                <c:formatCode>General</c:formatCode>
                <c:ptCount val="1"/>
                <c:pt idx="0">
                  <c:v>72800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1-491B-B3AC-74B8392F035A}"/>
            </c:ext>
          </c:extLst>
        </c:ser>
        <c:ser>
          <c:idx val="1"/>
          <c:order val="1"/>
          <c:tx>
            <c:strRef>
              <c:f>'Задание Графики'!$B$32</c:f>
              <c:strCache>
                <c:ptCount val="1"/>
                <c:pt idx="0">
                  <c:v>B02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Графики'!$C$32</c:f>
              <c:numCache>
                <c:formatCode>General</c:formatCode>
                <c:ptCount val="1"/>
                <c:pt idx="0">
                  <c:v>153000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31-491B-B3AC-74B8392F035A}"/>
            </c:ext>
          </c:extLst>
        </c:ser>
        <c:ser>
          <c:idx val="2"/>
          <c:order val="2"/>
          <c:tx>
            <c:strRef>
              <c:f>'Задание Графики'!$B$33</c:f>
              <c:strCache>
                <c:ptCount val="1"/>
                <c:pt idx="0">
                  <c:v>B03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Графики'!$C$33</c:f>
              <c:numCache>
                <c:formatCode>General</c:formatCode>
                <c:ptCount val="1"/>
                <c:pt idx="0">
                  <c:v>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31-491B-B3AC-74B8392F035A}"/>
            </c:ext>
          </c:extLst>
        </c:ser>
        <c:ser>
          <c:idx val="3"/>
          <c:order val="3"/>
          <c:tx>
            <c:strRef>
              <c:f>'Задание Графики'!$B$34</c:f>
              <c:strCache>
                <c:ptCount val="1"/>
                <c:pt idx="0">
                  <c:v>B08</c:v>
                </c:pt>
              </c:strCache>
            </c:strRef>
          </c:tx>
          <c:spPr>
            <a:solidFill>
              <a:srgbClr val="1C1CE4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Графики'!$C$34</c:f>
              <c:numCache>
                <c:formatCode>General</c:formatCode>
                <c:ptCount val="1"/>
                <c:pt idx="0">
                  <c:v>93000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31-491B-B3AC-74B8392F035A}"/>
            </c:ext>
          </c:extLst>
        </c:ser>
        <c:ser>
          <c:idx val="4"/>
          <c:order val="4"/>
          <c:tx>
            <c:strRef>
              <c:f>'Задание Графики'!$B$35</c:f>
              <c:strCache>
                <c:ptCount val="1"/>
                <c:pt idx="0">
                  <c:v>B09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Графики'!$C$35</c:f>
              <c:numCache>
                <c:formatCode>General</c:formatCode>
                <c:ptCount val="1"/>
                <c:pt idx="0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31-491B-B3AC-74B8392F035A}"/>
            </c:ext>
          </c:extLst>
        </c:ser>
        <c:ser>
          <c:idx val="5"/>
          <c:order val="5"/>
          <c:tx>
            <c:strRef>
              <c:f>'Задание Графики'!$B$36</c:f>
              <c:strCache>
                <c:ptCount val="1"/>
                <c:pt idx="0">
                  <c:v>B17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Графики'!$C$36</c:f>
              <c:numCache>
                <c:formatCode>General</c:formatCode>
                <c:ptCount val="1"/>
                <c:pt idx="0">
                  <c:v>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31-491B-B3AC-74B8392F035A}"/>
            </c:ext>
          </c:extLst>
        </c:ser>
        <c:ser>
          <c:idx val="6"/>
          <c:order val="6"/>
          <c:tx>
            <c:strRef>
              <c:f>'Задание Графики'!$B$37</c:f>
              <c:strCache>
                <c:ptCount val="1"/>
                <c:pt idx="0">
                  <c:v>B18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Графики'!$C$37</c:f>
              <c:numCache>
                <c:formatCode>General</c:formatCode>
                <c:ptCount val="1"/>
                <c:pt idx="0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31-491B-B3AC-74B8392F035A}"/>
            </c:ext>
          </c:extLst>
        </c:ser>
        <c:ser>
          <c:idx val="7"/>
          <c:order val="7"/>
          <c:tx>
            <c:strRef>
              <c:f>'Задание Графики'!$B$38</c:f>
              <c:strCache>
                <c:ptCount val="1"/>
                <c:pt idx="0">
                  <c:v>B19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Графики'!$C$38</c:f>
              <c:numCache>
                <c:formatCode>General</c:formatCode>
                <c:ptCount val="1"/>
                <c:pt idx="0">
                  <c:v>55285.714285714283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31-491B-B3AC-74B8392F035A}"/>
            </c:ext>
          </c:extLst>
        </c:ser>
        <c:ser>
          <c:idx val="8"/>
          <c:order val="8"/>
          <c:tx>
            <c:strRef>
              <c:f>'Задание Графики'!$B$39</c:f>
              <c:strCache>
                <c:ptCount val="1"/>
                <c:pt idx="0">
                  <c:v>B20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Графики'!$C$39</c:f>
              <c:numCache>
                <c:formatCode>General</c:formatCode>
                <c:ptCount val="1"/>
                <c:pt idx="0">
                  <c:v>37900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31-491B-B3AC-74B8392F035A}"/>
            </c:ext>
          </c:extLst>
        </c:ser>
        <c:ser>
          <c:idx val="9"/>
          <c:order val="9"/>
          <c:tx>
            <c:strRef>
              <c:f>'Задание Графики'!$B$40</c:f>
              <c:strCache>
                <c:ptCount val="1"/>
                <c:pt idx="0">
                  <c:v>B41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Графики'!$C$40</c:f>
              <c:numCache>
                <c:formatCode>General</c:formatCode>
                <c:ptCount val="1"/>
                <c:pt idx="0">
                  <c:v>50500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531-491B-B3AC-74B8392F035A}"/>
            </c:ext>
          </c:extLst>
        </c:ser>
        <c:ser>
          <c:idx val="10"/>
          <c:order val="10"/>
          <c:tx>
            <c:strRef>
              <c:f>'Задание Графики'!$B$41</c:f>
              <c:strCache>
                <c:ptCount val="1"/>
                <c:pt idx="0">
                  <c:v>B42</c:v>
                </c:pt>
              </c:strCache>
            </c:strRef>
          </c:tx>
          <c:spPr>
            <a:solidFill>
              <a:srgbClr val="843278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Графики'!$C$41</c:f>
              <c:numCache>
                <c:formatCode>General</c:formatCode>
                <c:ptCount val="1"/>
                <c:pt idx="0">
                  <c:v>74125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31-491B-B3AC-74B8392F035A}"/>
            </c:ext>
          </c:extLst>
        </c:ser>
        <c:ser>
          <c:idx val="11"/>
          <c:order val="11"/>
          <c:tx>
            <c:strRef>
              <c:f>'Задание Графики'!$B$42</c:f>
              <c:strCache>
                <c:ptCount val="1"/>
                <c:pt idx="0">
                  <c:v>B43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Графики'!$C$42</c:f>
              <c:numCache>
                <c:formatCode>General</c:formatCode>
                <c:ptCount val="1"/>
                <c:pt idx="0">
                  <c:v>77500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531-491B-B3AC-74B8392F035A}"/>
            </c:ext>
          </c:extLst>
        </c:ser>
        <c:ser>
          <c:idx val="12"/>
          <c:order val="12"/>
          <c:tx>
            <c:strRef>
              <c:f>'Задание Графики'!$B$43</c:f>
              <c:strCache>
                <c:ptCount val="1"/>
                <c:pt idx="0">
                  <c:v>B44</c:v>
                </c:pt>
              </c:strCache>
            </c:strRef>
          </c:tx>
          <c:spPr>
            <a:solidFill>
              <a:srgbClr val="F565B0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Графики'!$C$43</c:f>
              <c:numCache>
                <c:formatCode>General</c:formatCode>
                <c:ptCount val="1"/>
                <c:pt idx="0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531-491B-B3AC-74B8392F035A}"/>
            </c:ext>
          </c:extLst>
        </c:ser>
        <c:ser>
          <c:idx val="13"/>
          <c:order val="13"/>
          <c:tx>
            <c:strRef>
              <c:f>'Задание Графики'!$B$44</c:f>
              <c:strCache>
                <c:ptCount val="1"/>
                <c:pt idx="0">
                  <c:v>B45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Графики'!$C$44</c:f>
              <c:numCache>
                <c:formatCode>General</c:formatCode>
                <c:ptCount val="1"/>
                <c:pt idx="0">
                  <c:v>43428.571428571428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531-491B-B3AC-74B8392F035A}"/>
            </c:ext>
          </c:extLst>
        </c:ser>
        <c:ser>
          <c:idx val="14"/>
          <c:order val="14"/>
          <c:tx>
            <c:strRef>
              <c:f>'Задание Графики'!$B$45</c:f>
              <c:strCache>
                <c:ptCount val="1"/>
                <c:pt idx="0">
                  <c:v>B46</c:v>
                </c:pt>
              </c:strCache>
            </c:strRef>
          </c:tx>
          <c:spPr>
            <a:solidFill>
              <a:srgbClr val="E11FC5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Графики'!$C$45</c:f>
              <c:numCache>
                <c:formatCode>General</c:formatCode>
                <c:ptCount val="1"/>
                <c:pt idx="0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531-491B-B3AC-74B8392F035A}"/>
            </c:ext>
          </c:extLst>
        </c:ser>
        <c:ser>
          <c:idx val="15"/>
          <c:order val="15"/>
          <c:tx>
            <c:strRef>
              <c:f>'Задание Графики'!$B$46</c:f>
              <c:strCache>
                <c:ptCount val="1"/>
                <c:pt idx="0">
                  <c:v>B47</c:v>
                </c:pt>
              </c:strCache>
            </c:strRef>
          </c:tx>
          <c:spPr>
            <a:solidFill>
              <a:srgbClr val="7DE34F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Графики'!$C$46</c:f>
              <c:numCache>
                <c:formatCode>General</c:formatCode>
                <c:ptCount val="1"/>
                <c:pt idx="0">
                  <c:v>107500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531-491B-B3AC-74B8392F035A}"/>
            </c:ext>
          </c:extLst>
        </c:ser>
        <c:ser>
          <c:idx val="16"/>
          <c:order val="16"/>
          <c:tx>
            <c:strRef>
              <c:f>'Задание Графики'!$B$47</c:f>
              <c:strCache>
                <c:ptCount val="1"/>
                <c:pt idx="0">
                  <c:v>B48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Графики'!$C$47</c:f>
              <c:numCache>
                <c:formatCode>General</c:formatCode>
                <c:ptCount val="1"/>
                <c:pt idx="0">
                  <c:v>68600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531-491B-B3AC-74B8392F035A}"/>
            </c:ext>
          </c:extLst>
        </c:ser>
        <c:ser>
          <c:idx val="17"/>
          <c:order val="17"/>
          <c:tx>
            <c:strRef>
              <c:f>'Задание Графики'!$B$48</c:f>
              <c:strCache>
                <c:ptCount val="1"/>
                <c:pt idx="0">
                  <c:v>B55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Графики'!$C$48</c:f>
              <c:numCache>
                <c:formatCode>General</c:formatCode>
                <c:ptCount val="1"/>
                <c:pt idx="0">
                  <c:v>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531-491B-B3AC-74B8392F035A}"/>
            </c:ext>
          </c:extLst>
        </c:ser>
        <c:ser>
          <c:idx val="18"/>
          <c:order val="18"/>
          <c:tx>
            <c:strRef>
              <c:f>'Задание Графики'!$B$49</c:f>
              <c:strCache>
                <c:ptCount val="1"/>
                <c:pt idx="0">
                  <c:v>B61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Графики'!$C$49</c:f>
              <c:numCache>
                <c:formatCode>General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531-491B-B3AC-74B8392F035A}"/>
            </c:ext>
          </c:extLst>
        </c:ser>
        <c:ser>
          <c:idx val="19"/>
          <c:order val="19"/>
          <c:tx>
            <c:strRef>
              <c:f>'Задание Графики'!$B$50</c:f>
              <c:strCache>
                <c:ptCount val="1"/>
                <c:pt idx="0">
                  <c:v>B77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Графики'!$C$50</c:f>
              <c:numCache>
                <c:formatCode>General</c:formatCode>
                <c:ptCount val="1"/>
                <c:pt idx="0">
                  <c:v>52736.84210526316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531-491B-B3AC-74B8392F035A}"/>
            </c:ext>
          </c:extLst>
        </c:ser>
        <c:ser>
          <c:idx val="20"/>
          <c:order val="20"/>
          <c:tx>
            <c:strRef>
              <c:f>'Задание Графики'!$B$51</c:f>
              <c:strCache>
                <c:ptCount val="1"/>
                <c:pt idx="0">
                  <c:v>B81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Графики'!$C$51</c:f>
              <c:numCache>
                <c:formatCode>General</c:formatCode>
                <c:ptCount val="1"/>
                <c:pt idx="0">
                  <c:v>85400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531-491B-B3AC-74B8392F035A}"/>
            </c:ext>
          </c:extLst>
        </c:ser>
        <c:ser>
          <c:idx val="21"/>
          <c:order val="21"/>
          <c:tx>
            <c:strRef>
              <c:f>'Задание Графики'!$B$52</c:f>
              <c:strCache>
                <c:ptCount val="1"/>
                <c:pt idx="0">
                  <c:v>B82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Графики'!$C$52</c:f>
              <c:numCache>
                <c:formatCode>General</c:formatCode>
                <c:ptCount val="1"/>
                <c:pt idx="0">
                  <c:v>76666.666666666672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531-491B-B3AC-74B8392F035A}"/>
            </c:ext>
          </c:extLst>
        </c:ser>
        <c:ser>
          <c:idx val="22"/>
          <c:order val="22"/>
          <c:tx>
            <c:strRef>
              <c:f>'Задание Графики'!$B$53</c:f>
              <c:strCache>
                <c:ptCount val="1"/>
                <c:pt idx="0">
                  <c:v>B83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Графики'!$C$53</c:f>
              <c:numCache>
                <c:formatCode>General</c:formatCode>
                <c:ptCount val="1"/>
                <c:pt idx="0">
                  <c:v>81666.666666666672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531-491B-B3AC-74B8392F035A}"/>
            </c:ext>
          </c:extLst>
        </c:ser>
        <c:ser>
          <c:idx val="23"/>
          <c:order val="23"/>
          <c:tx>
            <c:strRef>
              <c:f>'Задание Графики'!$B$54</c:f>
              <c:strCache>
                <c:ptCount val="1"/>
                <c:pt idx="0">
                  <c:v>B84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Графики'!$C$54</c:f>
              <c:numCache>
                <c:formatCode>General</c:formatCode>
                <c:ptCount val="1"/>
                <c:pt idx="0">
                  <c:v>123000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531-491B-B3AC-74B8392F035A}"/>
            </c:ext>
          </c:extLst>
        </c:ser>
        <c:ser>
          <c:idx val="24"/>
          <c:order val="24"/>
          <c:tx>
            <c:strRef>
              <c:f>'Задание Графики'!$B$55</c:f>
              <c:strCache>
                <c:ptCount val="1"/>
                <c:pt idx="0">
                  <c:v>B85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Графики'!$C$55</c:f>
              <c:numCache>
                <c:formatCode>General</c:formatCode>
                <c:ptCount val="1"/>
                <c:pt idx="0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31-491B-B3AC-74B8392F035A}"/>
            </c:ext>
          </c:extLst>
        </c:ser>
        <c:ser>
          <c:idx val="25"/>
          <c:order val="25"/>
          <c:tx>
            <c:strRef>
              <c:f>'Задание Графики'!$B$56</c:f>
              <c:strCache>
                <c:ptCount val="1"/>
                <c:pt idx="0">
                  <c:v>B86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Графики'!$C$56</c:f>
              <c:numCache>
                <c:formatCode>General</c:formatCode>
                <c:ptCount val="1"/>
                <c:pt idx="0">
                  <c:v>68666.666666666672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531-491B-B3AC-74B8392F035A}"/>
            </c:ext>
          </c:extLst>
        </c:ser>
        <c:ser>
          <c:idx val="26"/>
          <c:order val="26"/>
          <c:tx>
            <c:strRef>
              <c:f>'Задание Графики'!$B$57</c:f>
              <c:strCache>
                <c:ptCount val="1"/>
                <c:pt idx="0">
                  <c:v>B87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Графики'!$C$57</c:f>
              <c:numCache>
                <c:formatCode>General</c:formatCode>
                <c:ptCount val="1"/>
                <c:pt idx="0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531-491B-B3AC-74B8392F035A}"/>
            </c:ext>
          </c:extLst>
        </c:ser>
        <c:ser>
          <c:idx val="27"/>
          <c:order val="27"/>
          <c:tx>
            <c:strRef>
              <c:f>'Задание Графики'!$B$58</c:f>
              <c:strCache>
                <c:ptCount val="1"/>
                <c:pt idx="0">
                  <c:v>B88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Графики'!$C$58</c:f>
              <c:numCache>
                <c:formatCode>General</c:formatCode>
                <c:ptCount val="1"/>
                <c:pt idx="0">
                  <c:v>134500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531-491B-B3AC-74B8392F035A}"/>
            </c:ext>
          </c:extLst>
        </c:ser>
        <c:ser>
          <c:idx val="28"/>
          <c:order val="28"/>
          <c:tx>
            <c:strRef>
              <c:f>'Задание Графики'!$B$59</c:f>
              <c:strCache>
                <c:ptCount val="1"/>
                <c:pt idx="0">
                  <c:v>B89</c:v>
                </c:pt>
              </c:strCache>
            </c:strRef>
          </c:tx>
          <c:spPr>
            <a:solidFill>
              <a:srgbClr val="FF5757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Графики'!$C$59</c:f>
              <c:numCache>
                <c:formatCode>General</c:formatCode>
                <c:ptCount val="1"/>
                <c:pt idx="0">
                  <c:v>46500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531-491B-B3AC-74B8392F035A}"/>
            </c:ext>
          </c:extLst>
        </c:ser>
        <c:ser>
          <c:idx val="29"/>
          <c:order val="29"/>
          <c:tx>
            <c:strRef>
              <c:f>'Задание Графики'!$B$60</c:f>
              <c:strCache>
                <c:ptCount val="1"/>
                <c:pt idx="0">
                  <c:v>B90</c:v>
                </c:pt>
              </c:strCache>
            </c:strRef>
          </c:tx>
          <c:spPr>
            <a:solidFill>
              <a:srgbClr val="67F9F9"/>
            </a:solidFill>
            <a:ln>
              <a:noFill/>
            </a:ln>
            <a:effectLst/>
          </c:spPr>
          <c:invertIfNegative val="0"/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Графики'!$C$60</c:f>
              <c:numCache>
                <c:formatCode>General</c:formatCode>
                <c:ptCount val="1"/>
                <c:pt idx="0">
                  <c:v>115500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531-491B-B3AC-74B8392F035A}"/>
            </c:ext>
          </c:extLst>
        </c:ser>
        <c:ser>
          <c:idx val="30"/>
          <c:order val="30"/>
          <c:tx>
            <c:strRef>
              <c:f>'Задание Графики'!$B$61</c:f>
              <c:strCache>
                <c:ptCount val="1"/>
                <c:pt idx="0">
                  <c:v>B92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5531-491B-B3AC-74B8392F035A}"/>
              </c:ext>
            </c:extLst>
          </c:dPt>
          <c:cat>
            <c:strRef>
              <c:f>'Задание Графики'!$C$30</c:f>
              <c:strCache>
                <c:ptCount val="1"/>
                <c:pt idx="0">
                  <c:v>Average salary</c:v>
                </c:pt>
              </c:strCache>
            </c:strRef>
          </c:cat>
          <c:val>
            <c:numRef>
              <c:f>'Задание Графики'!$C$61</c:f>
              <c:numCache>
                <c:formatCode>General</c:formatCode>
                <c:ptCount val="1"/>
                <c:pt idx="0">
                  <c:v>73500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531-491B-B3AC-74B8392F0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068943"/>
        <c:axId val="1574067503"/>
      </c:barChart>
      <c:catAx>
        <c:axId val="157406894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Business-unit</a:t>
                </a:r>
              </a:p>
            </c:rich>
          </c:tx>
          <c:layout>
            <c:manualLayout>
              <c:xMode val="edge"/>
              <c:yMode val="edge"/>
              <c:x val="0.45984173042642984"/>
              <c:y val="0.817799304378930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1574067503"/>
        <c:crosses val="autoZero"/>
        <c:auto val="1"/>
        <c:lblAlgn val="ctr"/>
        <c:lblOffset val="100"/>
        <c:noMultiLvlLbl val="0"/>
      </c:catAx>
      <c:valAx>
        <c:axId val="157406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Average salary</a:t>
                </a:r>
              </a:p>
            </c:rich>
          </c:tx>
          <c:layout>
            <c:manualLayout>
              <c:xMode val="edge"/>
              <c:yMode val="edge"/>
              <c:x val="1.2183437897563463E-2"/>
              <c:y val="0.35517226368065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406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2354981799533525E-2"/>
          <c:y val="0.86586852594511343"/>
          <c:w val="0.86750463320108795"/>
          <c:h val="0.12596106812295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[Садуова Нурай, домашнее задание 1.xlsx]Задание Графики!PivotTable1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Percentage</a:t>
            </a:r>
            <a:r>
              <a:rPr lang="en-US" sz="1600" b="1" baseline="0">
                <a:solidFill>
                  <a:sysClr val="windowText" lastClr="000000"/>
                </a:solidFill>
              </a:rPr>
              <a:t> of players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25904706882993"/>
          <c:y val="5.07093116669014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FFC000"/>
          </a:solidFill>
          <a:ln w="19050">
            <a:noFill/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D5F72258-D3C3-4895-94FB-F288E99EAC4C}" type="CATEGORYNAME">
                  <a:rPr lang="en-US" sz="1100" b="1">
                    <a:solidFill>
                      <a:srgbClr val="FFC000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[CATEGORY NAME]</a:t>
                </a:fld>
                <a:r>
                  <a:rPr lang="en-US" baseline="0">
                    <a:solidFill>
                      <a:srgbClr val="FFC000"/>
                    </a:solidFill>
                  </a:rPr>
                  <a:t>
</a:t>
                </a:r>
                <a:fld id="{04D96D8E-673B-42CC-8646-05EB6456B68A}" type="PERCENTAGE">
                  <a:rPr lang="en-US" b="1" baseline="0">
                    <a:solidFill>
                      <a:srgbClr val="FFC000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[PERCENTAGE]</a:t>
                </a:fld>
                <a:endParaRPr lang="en-US" baseline="0">
                  <a:solidFill>
                    <a:srgbClr val="FFC000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00B050"/>
          </a:solidFill>
          <a:ln w="19050">
            <a:noFill/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02367F0-6CD1-4A90-B466-109C57790EFE}" type="CATEGORYNAME">
                  <a:rPr lang="en-US" sz="1100" b="1"/>
                  <a:pPr>
                    <a:defRPr>
                      <a:solidFill>
                        <a:schemeClr val="tx1"/>
                      </a:solidFill>
                    </a:defRPr>
                  </a:pPr>
                  <a:t>[CATEGORY NAME]</a:t>
                </a:fld>
                <a:r>
                  <a:rPr lang="en-US" sz="1100" b="1" baseline="0"/>
                  <a:t>
</a:t>
                </a:r>
                <a:fld id="{A657F392-597E-40CC-A0FB-377323CB9BA4}" type="PERCENTAGE">
                  <a:rPr lang="en-US" sz="1100" b="1" baseline="0"/>
                  <a:pPr>
                    <a:defRPr>
                      <a:solidFill>
                        <a:schemeClr val="tx1"/>
                      </a:solidFill>
                    </a:defRPr>
                  </a:pPr>
                  <a:t>[PERCENTAGE]</a:t>
                </a:fld>
                <a:endParaRPr lang="en-US" sz="1100" b="1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5"/>
        <c:spPr>
          <a:solidFill>
            <a:srgbClr val="FF0000"/>
          </a:solidFill>
          <a:ln w="19050">
            <a:noFill/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810D48E4-BB62-4FFE-9AE2-D1B2543DB7F4}" type="CATEGORYNAME">
                  <a:rPr lang="en-US" sz="1100" b="1">
                    <a:solidFill>
                      <a:srgbClr val="FF0000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[CATEGORY NAME]</a:t>
                </a:fld>
                <a:r>
                  <a:rPr lang="en-US" sz="1100" b="1" baseline="0">
                    <a:solidFill>
                      <a:srgbClr val="FF0000"/>
                    </a:solidFill>
                  </a:rPr>
                  <a:t>
</a:t>
                </a:r>
                <a:fld id="{729C8BAA-F024-4DD8-A58F-07BC2973BB6C}" type="PERCENTAGE">
                  <a:rPr lang="en-US" sz="1100" b="1" baseline="0">
                    <a:solidFill>
                      <a:srgbClr val="FF0000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[PERCENTAGE]</a:t>
                </a:fld>
                <a:endParaRPr lang="en-US" sz="1100" b="1" baseline="0">
                  <a:solidFill>
                    <a:srgbClr val="FF0000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'Задание Графики'!$U$4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9EA-4D6D-BC9F-C549EEB310D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EA-4D6D-BC9F-C549EEB310D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EA-4D6D-BC9F-C549EEB310D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02367F0-6CD1-4A90-B466-109C57790EFE}" type="CATEGORYNAME">
                      <a:rPr lang="en-US" sz="1100" b="1"/>
                      <a:pPr/>
                      <a:t>[CATEGORY NAME]</a:t>
                    </a:fld>
                    <a:r>
                      <a:rPr lang="en-US" sz="1100" b="1" baseline="0"/>
                      <a:t>
</a:t>
                    </a:r>
                    <a:fld id="{A657F392-597E-40CC-A0FB-377323CB9BA4}" type="PERCENTAGE">
                      <a:rPr lang="en-US" sz="1100" b="1" baseline="0"/>
                      <a:pPr/>
                      <a:t>[PERCENTAGE]</a:t>
                    </a:fld>
                    <a:endParaRPr lang="en-US" sz="1100" b="1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9EA-4D6D-BC9F-C549EEB310D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10D48E4-BB62-4FFE-9AE2-D1B2543DB7F4}" type="CATEGORYNAME">
                      <a:rPr lang="en-US" sz="1100" b="1">
                        <a:solidFill>
                          <a:srgbClr val="FF0000"/>
                        </a:solidFill>
                      </a:rPr>
                      <a:pPr/>
                      <a:t>[CATEGORY NAME]</a:t>
                    </a:fld>
                    <a:r>
                      <a:rPr lang="en-US" sz="1100" b="1" baseline="0">
                        <a:solidFill>
                          <a:srgbClr val="FF0000"/>
                        </a:solidFill>
                      </a:rPr>
                      <a:t>
</a:t>
                    </a:r>
                    <a:fld id="{729C8BAA-F024-4DD8-A58F-07BC2973BB6C}" type="PERCENTAGE">
                      <a:rPr lang="en-US" sz="1100" b="1" baseline="0">
                        <a:solidFill>
                          <a:srgbClr val="FF0000"/>
                        </a:solidFill>
                      </a:rPr>
                      <a:pPr/>
                      <a:t>[PERCENTAGE]</a:t>
                    </a:fld>
                    <a:endParaRPr lang="en-US" sz="1100" b="1" baseline="0">
                      <a:solidFill>
                        <a:srgbClr val="FF0000"/>
                      </a:solidFill>
                    </a:endParaRP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9EA-4D6D-BC9F-C549EEB310D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5F72258-D3C3-4895-94FB-F288E99EAC4C}" type="CATEGORYNAME">
                      <a:rPr lang="en-US" sz="1100" b="1">
                        <a:solidFill>
                          <a:srgbClr val="FFC000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rgbClr val="FFC000"/>
                        </a:solidFill>
                      </a:rPr>
                      <a:t>
</a:t>
                    </a:r>
                    <a:fld id="{04D96D8E-673B-42CC-8646-05EB6456B68A}" type="PERCENTAGE">
                      <a:rPr lang="en-US" b="1" baseline="0">
                        <a:solidFill>
                          <a:srgbClr val="FFC000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rgbClr val="FFC000"/>
                      </a:solidFill>
                    </a:endParaRP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9EA-4D6D-BC9F-C549EEB310D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'Задание Графики'!$T$5:$T$8</c:f>
              <c:strCache>
                <c:ptCount val="3"/>
                <c:pt idx="0">
                  <c:v>Defence</c:v>
                </c:pt>
                <c:pt idx="1">
                  <c:v>Forward</c:v>
                </c:pt>
                <c:pt idx="2">
                  <c:v>Goalie</c:v>
                </c:pt>
              </c:strCache>
            </c:strRef>
          </c:cat>
          <c:val>
            <c:numRef>
              <c:f>'Задание Графики'!$U$5:$U$8</c:f>
              <c:numCache>
                <c:formatCode>General</c:formatCode>
                <c:ptCount val="3"/>
                <c:pt idx="0">
                  <c:v>29</c:v>
                </c:pt>
                <c:pt idx="1">
                  <c:v>55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A-4D6D-BC9F-C549EEB310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ysClr val="windowText" lastClr="000000"/>
                </a:solidFill>
                <a:effectLst/>
              </a:rPr>
              <a:t>Age category among teams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Графики'!$T$37</c:f>
              <c:strCache>
                <c:ptCount val="1"/>
                <c:pt idx="0">
                  <c:v>Woman</c:v>
                </c:pt>
              </c:strCache>
            </c:strRef>
          </c:tx>
          <c:spPr>
            <a:solidFill>
              <a:srgbClr val="FF09B3"/>
            </a:solidFill>
            <a:ln>
              <a:noFill/>
            </a:ln>
            <a:effectLst/>
          </c:spPr>
          <c:invertIfNegative val="0"/>
          <c:cat>
            <c:numRef>
              <c:f>'Задание Графики'!$U$36:$AN$36</c:f>
              <c:numCache>
                <c:formatCode>General</c:formatCode>
                <c:ptCount val="20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  <c:pt idx="13">
                  <c:v>40</c:v>
                </c:pt>
                <c:pt idx="14">
                  <c:v>41</c:v>
                </c:pt>
                <c:pt idx="15">
                  <c:v>42</c:v>
                </c:pt>
                <c:pt idx="16">
                  <c:v>43</c:v>
                </c:pt>
                <c:pt idx="17">
                  <c:v>44</c:v>
                </c:pt>
                <c:pt idx="18">
                  <c:v>45</c:v>
                </c:pt>
                <c:pt idx="19">
                  <c:v>47</c:v>
                </c:pt>
              </c:numCache>
            </c:numRef>
          </c:cat>
          <c:val>
            <c:numRef>
              <c:f>'Задание Графики'!$U$37:$AN$37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1-4A27-BA49-63428BCD1C1F}"/>
            </c:ext>
          </c:extLst>
        </c:ser>
        <c:ser>
          <c:idx val="1"/>
          <c:order val="1"/>
          <c:tx>
            <c:strRef>
              <c:f>'Задание Графики'!$T$38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1C1CE4"/>
            </a:solidFill>
            <a:ln>
              <a:noFill/>
            </a:ln>
            <a:effectLst/>
          </c:spPr>
          <c:invertIfNegative val="0"/>
          <c:cat>
            <c:numRef>
              <c:f>'Задание Графики'!$U$36:$AN$36</c:f>
              <c:numCache>
                <c:formatCode>General</c:formatCode>
                <c:ptCount val="20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  <c:pt idx="13">
                  <c:v>40</c:v>
                </c:pt>
                <c:pt idx="14">
                  <c:v>41</c:v>
                </c:pt>
                <c:pt idx="15">
                  <c:v>42</c:v>
                </c:pt>
                <c:pt idx="16">
                  <c:v>43</c:v>
                </c:pt>
                <c:pt idx="17">
                  <c:v>44</c:v>
                </c:pt>
                <c:pt idx="18">
                  <c:v>45</c:v>
                </c:pt>
                <c:pt idx="19">
                  <c:v>47</c:v>
                </c:pt>
              </c:numCache>
            </c:numRef>
          </c:cat>
          <c:val>
            <c:numRef>
              <c:f>'Задание Графики'!$U$38:$AN$38</c:f>
              <c:numCache>
                <c:formatCode>General</c:formatCode>
                <c:ptCount val="20"/>
                <c:pt idx="1">
                  <c:v>1</c:v>
                </c:pt>
                <c:pt idx="2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1-4A27-BA49-63428BCD1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935007"/>
        <c:axId val="590947967"/>
      </c:barChart>
      <c:catAx>
        <c:axId val="590935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Age</a:t>
                </a:r>
                <a:r>
                  <a:rPr lang="kk-KZ" sz="1100">
                    <a:solidFill>
                      <a:sysClr val="windowText" lastClr="000000"/>
                    </a:solidFill>
                  </a:rPr>
                  <a:t> </a:t>
                </a:r>
                <a:r>
                  <a:rPr lang="en-GB" sz="1100">
                    <a:solidFill>
                      <a:sysClr val="windowText" lastClr="000000"/>
                    </a:solidFill>
                  </a:rPr>
                  <a:t>range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0947967"/>
        <c:crosses val="autoZero"/>
        <c:auto val="1"/>
        <c:lblAlgn val="ctr"/>
        <c:lblOffset val="100"/>
        <c:noMultiLvlLbl val="0"/>
      </c:catAx>
      <c:valAx>
        <c:axId val="59094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baseline="0">
                    <a:effectLst/>
                  </a:rPr>
                  <a:t>Number of people in the team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9937446833063508E-2"/>
              <c:y val="0.214596261249970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093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553720</xdr:colOff>
      <xdr:row>3</xdr:row>
      <xdr:rowOff>114300</xdr:rowOff>
    </xdr:from>
    <xdr:to>
      <xdr:col>25</xdr:col>
      <xdr:colOff>408446</xdr:colOff>
      <xdr:row>21</xdr:row>
      <xdr:rowOff>70018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5655DEB-AF88-83EB-D59A-52D27CEB6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720" y="662940"/>
          <a:ext cx="15094726" cy="32475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3379</xdr:colOff>
      <xdr:row>3</xdr:row>
      <xdr:rowOff>3416</xdr:rowOff>
    </xdr:from>
    <xdr:to>
      <xdr:col>16</xdr:col>
      <xdr:colOff>0</xdr:colOff>
      <xdr:row>25</xdr:row>
      <xdr:rowOff>176463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AEDFC-408E-7B38-BA92-678382222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605748</xdr:colOff>
      <xdr:row>29</xdr:row>
      <xdr:rowOff>3008</xdr:rowOff>
    </xdr:from>
    <xdr:to>
      <xdr:col>16</xdr:col>
      <xdr:colOff>0</xdr:colOff>
      <xdr:row>54</xdr:row>
      <xdr:rowOff>171235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4B9FDB-4703-4E22-81DD-20A2C62D5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1491</xdr:colOff>
      <xdr:row>2</xdr:row>
      <xdr:rowOff>181409</xdr:rowOff>
    </xdr:from>
    <xdr:to>
      <xdr:col>41</xdr:col>
      <xdr:colOff>0</xdr:colOff>
      <xdr:row>26</xdr:row>
      <xdr:rowOff>2293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16E43F-ECCA-970E-D46E-69028C0B3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10885</xdr:colOff>
      <xdr:row>39</xdr:row>
      <xdr:rowOff>9646</xdr:rowOff>
    </xdr:from>
    <xdr:to>
      <xdr:col>41</xdr:col>
      <xdr:colOff>5442</xdr:colOff>
      <xdr:row>55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CF5E10-BC6B-D732-AB62-F966C513E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урай Садуова" refreshedDate="46085.680372685187" createdVersion="8" refreshedVersion="8" minRefreshableVersion="3" recordCount="232" xr:uid="{785A68EA-0ACE-4FFB-B220-EFED19139C99}">
  <cacheSource type="worksheet">
    <worksheetSource ref="A3:G235" sheet="Источник 1"/>
  </cacheSource>
  <cacheFields count="7">
    <cacheField name="ID" numFmtId="0">
      <sharedItems containsSemiMixedTypes="0" containsString="0" containsNumber="1" containsInteger="1" minValue="1" maxValue="90147"/>
    </cacheField>
    <cacheField name="Фамилия" numFmtId="0">
      <sharedItems count="171">
        <s v="Miller"/>
        <s v="Rubin"/>
        <s v="Smith"/>
        <s v="Coulter"/>
        <s v="Gupta"/>
        <s v="Williams-Martinez"/>
        <s v="Niedzwiecki"/>
        <s v="Wang"/>
        <s v="Adams"/>
        <s v="Mallory"/>
        <s v="Messer"/>
        <s v="Fleming"/>
        <s v="Fisher"/>
        <s v="Johnson"/>
        <s v="Czarny"/>
        <s v="Williams-Aikman"/>
        <s v="Martinez"/>
        <s v="Rokovky"/>
        <s v="Herbert"/>
        <s v="Banister"/>
        <s v="Rodes"/>
        <s v="Evans"/>
        <s v="Adamson"/>
        <s v="Brown"/>
        <s v="Horak"/>
        <s v="Park"/>
        <s v="Lee"/>
        <s v="Lu"/>
        <s v="Krasny"/>
        <s v="Smidt"/>
        <s v="Mayer"/>
        <s v="Krebs"/>
        <s v="Becker"/>
        <s v="Deneuve"/>
        <s v="Keller"/>
        <s v="Sullivan"/>
        <s v="McDonald"/>
        <s v="Potocki"/>
        <s v="Smyrna"/>
        <s v="Shevchenko"/>
        <s v="OConnell"/>
        <s v="Connolly"/>
        <s v="OBrien"/>
        <s v="Nowak"/>
        <s v="Kaczmarek"/>
        <s v="Mazur"/>
        <s v="Czaja"/>
        <s v="Kowalski"/>
        <s v="Dzik"/>
        <s v="Kwiatkowski"/>
        <s v="Wilk"/>
        <s v="Jaworska"/>
        <s v="Wilczynska"/>
        <s v="Wilczynska-Popov"/>
        <s v="Jankowski"/>
        <s v="Zawacki"/>
        <s v="Sokolov"/>
        <s v="Petrov"/>
        <s v="Bogdanov"/>
        <s v="Volkowa"/>
        <s v="Makowski"/>
        <s v="Nikolajewa"/>
        <s v="Kuzniecowa"/>
        <s v="Czech"/>
        <s v="Kukulska"/>
        <s v="Balog"/>
        <s v="Kaminski"/>
        <s v="Gwiazda"/>
        <s v="Gomez"/>
        <s v="Gonzalez"/>
        <s v="Jelen"/>
        <s v="Zielonka"/>
        <s v="Silwer"/>
        <s v="Horvat"/>
        <s v="Golob"/>
        <s v="Piotrowski"/>
        <s v="Bialy"/>
        <s v="Kaufman"/>
        <s v="Bogucki"/>
        <s v="Ruiz"/>
        <s v="Diaz"/>
        <s v="Babicz"/>
        <s v="Moreno"/>
        <s v="Romero"/>
        <s v="Jones"/>
        <s v="Williams"/>
        <s v="Molina"/>
        <s v="Szymanska"/>
        <s v="Goldman"/>
        <s v="Delgardo"/>
        <s v="Kowal"/>
        <s v="Lis"/>
        <s v="Lebedev"/>
        <s v="Golubeva"/>
        <s v="Zaytseva"/>
        <s v="Golubev"/>
        <s v="Morozov"/>
        <s v="Kuznecov"/>
        <s v="Bronconi"/>
        <s v="Novikova"/>
        <s v="Novikov"/>
        <s v="Ivanov"/>
        <s v="Martin"/>
        <s v="Jaworski"/>
        <s v="Glinka"/>
        <s v="Orlowska"/>
        <s v="Wietrzycki"/>
        <s v="Papadopoulos"/>
        <s v="Jung"/>
        <s v="von Boroski"/>
        <s v="Steiner"/>
        <s v="Leitner"/>
        <s v="Garcia"/>
        <s v="Lopez"/>
        <s v="Rodov"/>
        <s v="Wolniak"/>
        <s v="Szajnowicz"/>
        <s v="Malinowska"/>
        <s v="Matysiak"/>
        <s v="Piotrowska"/>
        <s v="Birkut"/>
        <s v="Wozniak"/>
        <s v="Fronczak"/>
        <s v="Pardo"/>
        <s v="Davis"/>
        <s v="Babinicz"/>
        <s v="Kopyto"/>
        <s v="Scott"/>
        <s v="Reid"/>
        <s v="Watson"/>
        <s v="Gray"/>
        <s v="Walker"/>
        <s v="Grant"/>
        <s v="Kwiatkowska"/>
        <s v="Kwiatek"/>
        <s v="Wilson"/>
        <s v="Harris"/>
        <s v="Robinson"/>
        <s v="Nguyen"/>
        <s v="Kelly"/>
        <s v="Phan"/>
        <s v="Strzelecki"/>
        <s v="Fujiwara"/>
        <s v="Katz"/>
        <s v="Sakamoto"/>
        <s v="Rybacki"/>
        <s v="Sowa"/>
        <s v="Green"/>
        <s v="Hall"/>
        <s v="Dabrowska-Brown"/>
        <s v="Zawacka"/>
        <s v="Volkov"/>
        <s v="Verma"/>
        <s v="Malhotra"/>
        <s v="Bhatnagar"/>
        <s v="Singh"/>
        <s v="Kapur"/>
        <s v="Brzoza"/>
        <s v="Zalewska"/>
        <s v="Sinha"/>
        <s v="Agrawal "/>
        <s v="Saxena"/>
        <s v="Jaiswal"/>
        <s v="Aggarwal"/>
        <s v="Sharma"/>
        <s v="Krasna"/>
        <s v="Chatterjee"/>
        <s v="Maslow"/>
        <s v="Wisniewski"/>
        <s v="Kowalska"/>
        <s v="Gordon"/>
      </sharedItems>
    </cacheField>
    <cacheField name="Имя" numFmtId="0">
      <sharedItems count="144">
        <s v="Jennifer"/>
        <s v="Thomas"/>
        <s v="Peter"/>
        <s v="Tony"/>
        <s v="Rajiv"/>
        <s v="Belinda"/>
        <s v="Edward"/>
        <s v="Kenny"/>
        <s v="Frank"/>
        <s v="Stephanie"/>
        <s v="Petee"/>
        <s v="Hillary"/>
        <s v="James"/>
        <s v="Charles"/>
        <s v="Barbara"/>
        <s v="Valerie"/>
        <s v="Arnold"/>
        <s v="Pedro"/>
        <s v="Jessica"/>
        <s v="Meredith"/>
        <s v="Vladimir"/>
        <s v="Jan"/>
        <s v="Amy"/>
        <s v="Karine"/>
        <s v="Diane"/>
        <s v="Christine"/>
        <s v="Amlan"/>
        <s v="Gwen"/>
        <s v="Karina"/>
        <s v="Sue"/>
        <s v="Betty"/>
        <s v="John"/>
        <s v="Xiu"/>
        <s v="Xue"/>
        <s v="Wei"/>
        <s v="Igor"/>
        <s v="Hans"/>
        <s v="Inge"/>
        <s v="Petra"/>
        <s v="Heike"/>
        <s v="Nicole"/>
        <s v="Louise"/>
        <s v="Stanislav"/>
        <s v="Olga"/>
        <s v="Andrej"/>
        <s v="Sean"/>
        <s v="Marc"/>
        <s v="Zofia"/>
        <s v="Marja"/>
        <s v="Piotr"/>
        <s v="Slawomir"/>
        <s v="Marek"/>
        <s v="Marzena"/>
        <s v="Tomasz"/>
        <s v="Iwona"/>
        <s v="Grazyna"/>
        <s v="Elrzbieta"/>
        <s v="Helena"/>
        <s v="Kazimierz"/>
        <s v="Ivan"/>
        <s v="Swetlana"/>
        <s v="Natasha"/>
        <s v="Alla"/>
        <s v="Natalia"/>
        <s v="Anna"/>
        <s v="Eszter"/>
        <s v="Mariusz"/>
        <s v="Mario"/>
        <s v="Maryla"/>
        <s v="Wioletta"/>
        <s v="Mateusz"/>
        <s v="Darko"/>
        <s v="Slavko"/>
        <s v="Stefan"/>
        <s v="Andrzej"/>
        <s v="Josef"/>
        <s v="Antonio"/>
        <s v="Pablo"/>
        <s v="Alfredo"/>
        <s v="Monika"/>
        <s v="Luc"/>
        <s v="Andrea"/>
        <s v="William"/>
        <s v="Luciana"/>
        <s v="Isabel"/>
        <s v="Laura"/>
        <s v="Debra"/>
        <s v="Wladyslaw"/>
        <s v="Adam"/>
        <s v="Nikolay"/>
        <s v="Marina"/>
        <s v="Konstantin"/>
        <s v="Yuri"/>
        <s v="Leonid"/>
        <s v="Mike"/>
        <s v="Tatjana"/>
        <s v="Dimitry"/>
        <s v="Boris"/>
        <s v="Pyotr"/>
        <s v="Sergey"/>
        <s v="Niki"/>
        <s v="Georgos"/>
        <s v="Helga"/>
        <s v="Karin"/>
        <s v="Katja"/>
        <s v="Franklin"/>
        <s v="Henryk"/>
        <s v="Mariola"/>
        <s v="Brittany"/>
        <s v="Calvin"/>
        <s v="Malgorzata"/>
        <s v="Alan"/>
        <s v="Brigid"/>
        <s v="Vicky"/>
        <s v="Margot"/>
        <s v="Patricia"/>
        <s v="Daniel"/>
        <s v="Amanda"/>
        <s v="Francesca"/>
        <s v="Christopher"/>
        <s v="Victoria"/>
        <s v="Robert"/>
        <s v="Noriko"/>
        <s v="Wlodzimierz"/>
        <s v="Teresa"/>
        <s v="Pauline"/>
        <s v="Hannah"/>
        <s v="Natalie"/>
        <s v="Magda"/>
        <s v="Henry"/>
        <s v="Martha"/>
        <s v="Anil"/>
        <s v="Shah"/>
        <s v="Faisal"/>
        <s v="Safi"/>
        <s v="Sema"/>
        <s v="Bobby"/>
        <s v="Rajat"/>
        <s v="Jonny"/>
        <s v="Sanjay"/>
        <s v="Sunil"/>
        <s v="Mainak"/>
        <s v="Jagannath"/>
        <s v="David"/>
      </sharedItems>
    </cacheField>
    <cacheField name="Должность" numFmtId="0">
      <sharedItems count="9">
        <s v="Senior Manager"/>
        <s v="Software Engineer"/>
        <s v="Programmer"/>
        <s v="Manager"/>
        <s v="Consultant"/>
        <s v="Software Analyst"/>
        <s v="Software Developer"/>
        <s v="Project Manager"/>
        <s v="System Engineer"/>
      </sharedItems>
    </cacheField>
    <cacheField name="Бизнес-юнит" numFmtId="0">
      <sharedItems count="31">
        <s v="B01"/>
        <s v="B92"/>
        <s v="B77"/>
        <s v="B18"/>
        <s v="B19"/>
        <s v="B20"/>
        <s v="B02"/>
        <s v="B03"/>
        <s v="B41"/>
        <s v="B42"/>
        <s v="B43"/>
        <s v="B44"/>
        <s v="B45"/>
        <s v="B46"/>
        <s v="B47"/>
        <s v="B48"/>
        <s v="B17"/>
        <s v="B55"/>
        <s v="B08"/>
        <s v="B09"/>
        <s v="B61"/>
        <s v="B90"/>
        <s v="B89"/>
        <s v="B88"/>
        <s v="B87"/>
        <s v="B86"/>
        <s v="B85"/>
        <s v="B84"/>
        <s v="B83"/>
        <s v="B82"/>
        <s v="B81"/>
      </sharedItems>
    </cacheField>
    <cacheField name="Зарплата" numFmtId="1">
      <sharedItems containsSemiMixedTypes="0" containsString="0" containsNumber="1" containsInteger="1" minValue="21000" maxValue="250000" count="81">
        <n v="172000"/>
        <n v="82000"/>
        <n v="48000"/>
        <n v="90000"/>
        <n v="130000"/>
        <n v="96000"/>
        <n v="88000"/>
        <n v="38000"/>
        <n v="46000"/>
        <n v="150000"/>
        <n v="52000"/>
        <n v="54000"/>
        <n v="100000"/>
        <n v="106000"/>
        <n v="72000"/>
        <n v="58000"/>
        <n v="80000"/>
        <n v="120000"/>
        <n v="76000"/>
        <n v="84000"/>
        <n v="70000"/>
        <n v="89000"/>
        <n v="86000"/>
        <n v="78000"/>
        <n v="98000"/>
        <n v="210000"/>
        <n v="45000"/>
        <n v="55000"/>
        <n v="30000"/>
        <n v="87000"/>
        <n v="75000"/>
        <n v="225000"/>
        <n v="250000"/>
        <n v="56000"/>
        <n v="35000"/>
        <n v="34000"/>
        <n v="37000"/>
        <n v="39000"/>
        <n v="160000"/>
        <n v="50000"/>
        <n v="195000"/>
        <n v="41000"/>
        <n v="61000"/>
        <n v="161000"/>
        <n v="125000"/>
        <n v="33000"/>
        <n v="42000"/>
        <n v="60000"/>
        <n v="73000"/>
        <n v="51000"/>
        <n v="29000"/>
        <n v="77000"/>
        <n v="64000"/>
        <n v="66000"/>
        <n v="68000"/>
        <n v="110000"/>
        <n v="63000"/>
        <n v="67000"/>
        <n v="28000"/>
        <n v="40000"/>
        <n v="43000"/>
        <n v="65000"/>
        <n v="79000"/>
        <n v="185000"/>
        <n v="24000"/>
        <n v="69000"/>
        <n v="27000"/>
        <n v="25000"/>
        <n v="111000"/>
        <n v="57000"/>
        <n v="135000"/>
        <n v="71000"/>
        <n v="74000"/>
        <n v="145000"/>
        <n v="155000"/>
        <n v="91000"/>
        <n v="190000"/>
        <n v="31000"/>
        <n v="240000"/>
        <n v="21000"/>
        <n v="59000"/>
      </sharedItems>
    </cacheField>
    <cacheField name="Бонус" numFmtId="1">
      <sharedItems containsBlank="1" containsMixedTypes="1" containsNumber="1" containsInteger="1" minValue="5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урай Садуова" refreshedDate="46085.745974305559" createdVersion="8" refreshedVersion="8" minRefreshableVersion="3" recordCount="96" xr:uid="{7811A5A2-A12F-400A-B681-9270449B8239}">
  <cacheSource type="worksheet">
    <worksheetSource name="Table3"/>
  </cacheSource>
  <cacheFields count="12">
    <cacheField name="ID" numFmtId="0">
      <sharedItems containsSemiMixedTypes="0" containsString="0" containsNumber="1" containsInteger="1" minValue="1" maxValue="96"/>
    </cacheField>
    <cacheField name="Команда" numFmtId="0">
      <sharedItems count="2">
        <s v="Женщина"/>
        <s v="Мужчина"/>
      </sharedItems>
    </cacheField>
    <cacheField name="Страна" numFmtId="0">
      <sharedItems count="2">
        <s v="Канада"/>
        <s v="США"/>
      </sharedItems>
    </cacheField>
    <cacheField name="Имя" numFmtId="0">
      <sharedItems/>
    </cacheField>
    <cacheField name="Фамилия" numFmtId="0">
      <sharedItems/>
    </cacheField>
    <cacheField name="Вес" numFmtId="0">
      <sharedItems containsSemiMixedTypes="0" containsString="0" containsNumber="1" containsInteger="1" minValue="60" maxValue="75" count="16">
        <n v="74"/>
        <n v="64"/>
        <n v="68"/>
        <n v="70"/>
        <n v="72"/>
        <n v="61"/>
        <n v="73"/>
        <n v="69"/>
        <n v="60"/>
        <n v="67"/>
        <n v="66"/>
        <n v="63"/>
        <n v="65"/>
        <n v="71"/>
        <n v="62"/>
        <n v="75"/>
      </sharedItems>
    </cacheField>
    <cacheField name="Рост" numFmtId="0">
      <sharedItems containsSemiMixedTypes="0" containsString="0" containsNumber="1" containsInteger="1" minValue="160" maxValue="180" count="21">
        <n v="161"/>
        <n v="164"/>
        <n v="176"/>
        <n v="180"/>
        <n v="172"/>
        <n v="170"/>
        <n v="167"/>
        <n v="169"/>
        <n v="160"/>
        <n v="175"/>
        <n v="177"/>
        <n v="168"/>
        <n v="165"/>
        <n v="166"/>
        <n v="178"/>
        <n v="173"/>
        <n v="171"/>
        <n v="163"/>
        <n v="162"/>
        <n v="174"/>
        <n v="179"/>
      </sharedItems>
    </cacheField>
    <cacheField name="День Рождения" numFmtId="14">
      <sharedItems containsSemiMixedTypes="0" containsNonDate="0" containsDate="1" containsString="0" minDate="1979-01-18T00:00:00" maxDate="1999-01-08T00:00:00"/>
    </cacheField>
    <cacheField name="Город" numFmtId="0">
      <sharedItems count="84">
        <s v="Ruthven"/>
        <s v="Sudbury"/>
        <s v="Kleinburg"/>
        <s v="Pickering"/>
        <s v="Halifax"/>
        <s v="Valleyfield"/>
        <s v="St. Anne"/>
        <s v="Oakville"/>
        <s v="Hamilton"/>
        <s v="Thunder Bay"/>
        <s v="Scarborough"/>
        <s v="Saskatoon"/>
        <s v="Beauceville"/>
        <s v="Stellarton"/>
        <s v="Ste. Anne"/>
        <s v="Mallard"/>
        <s v="Beaconsfield"/>
        <s v="St. Albert"/>
        <s v="Burlington"/>
        <s v="Edmonton"/>
        <s v="Kingston"/>
        <s v="La Malbaie"/>
        <s v="Vancouver"/>
        <s v="Toronto"/>
        <s v="Rockland"/>
        <s v="Lethbridge"/>
        <s v="Calgary"/>
        <s v="Oakbank"/>
        <s v="Lac La Biche"/>
        <s v="Vernon"/>
        <s v="Cochrane"/>
        <s v="Ottawa"/>
        <s v="Brossard"/>
        <s v="Wakaw"/>
        <s v="Camrose"/>
        <s v="MacTier"/>
        <s v="Morden"/>
        <s v="L’Île-Bizard"/>
        <s v="Montreal"/>
        <s v="Spruce Grove"/>
        <s v="Blyth"/>
        <s v="Eastvale"/>
        <s v="Westfield"/>
        <s v="Vadnais Heights"/>
        <s v="Plymouth"/>
        <s v="Palos Heights"/>
        <s v="Dousman"/>
        <s v="Danvers"/>
        <s v="Lakewood"/>
        <s v="Farmington"/>
        <s v="Madison"/>
        <s v="Sun Valley"/>
        <s v="Grand Forks"/>
        <s v="Warroad"/>
        <s v="Minnetonka"/>
        <s v="Montpelier"/>
        <s v="Buffalo"/>
        <s v="Delafield"/>
        <s v="Andover"/>
        <s v="Rockville"/>
        <s v="Roseville"/>
        <s v="Milford"/>
        <s v="Marysville"/>
        <s v="Ladera Ranch"/>
        <s v="Moorhead"/>
        <s v="North Reading"/>
        <s v="Marlborough"/>
        <s v="Scituate"/>
        <s v="Bellmore"/>
        <s v="Rochester"/>
        <s v="Canton"/>
        <s v="Bensalem"/>
        <s v="Abington"/>
        <s v="Rindge"/>
        <s v="Winter Park"/>
        <s v="Boston"/>
        <s v="Yardley"/>
        <s v="Vienna"/>
        <s v="Wilmington"/>
        <s v="Lapeer"/>
        <s v="Bloomington"/>
        <s v="Highlands Ranch"/>
        <s v="Brighton"/>
        <s v="Erie"/>
      </sharedItems>
    </cacheField>
    <cacheField name="Позиция" numFmtId="0">
      <sharedItems count="3">
        <s v="Forward"/>
        <s v="Defence"/>
        <s v="Goalie"/>
      </sharedItems>
    </cacheField>
    <cacheField name="Возраст" numFmtId="0">
      <sharedItems containsSemiMixedTypes="0" containsString="0" containsNumber="1" containsInteger="1" minValue="27" maxValue="47" count="20">
        <n v="39"/>
        <n v="36"/>
        <n v="31"/>
        <n v="33"/>
        <n v="34"/>
        <n v="35"/>
        <n v="37"/>
        <n v="30"/>
        <n v="32"/>
        <n v="41"/>
        <n v="40"/>
        <n v="42"/>
        <n v="45"/>
        <n v="44"/>
        <n v="43"/>
        <n v="38"/>
        <n v="27"/>
        <n v="29"/>
        <n v="28"/>
        <n v="47"/>
      </sharedItems>
    </cacheField>
    <cacheField name="Столбец1" numFmtId="0">
      <sharedItems containsSemiMixedTypes="0" containsString="0" containsNumber="1" containsInteger="1" minValue="1979" maxValue="1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n v="1"/>
    <x v="0"/>
    <x v="0"/>
    <x v="0"/>
    <x v="0"/>
    <x v="0"/>
    <n v="20000"/>
  </r>
  <r>
    <n v="2"/>
    <x v="1"/>
    <x v="1"/>
    <x v="1"/>
    <x v="0"/>
    <x v="1"/>
    <m/>
  </r>
  <r>
    <n v="3"/>
    <x v="2"/>
    <x v="2"/>
    <x v="2"/>
    <x v="0"/>
    <x v="2"/>
    <n v="1000"/>
  </r>
  <r>
    <n v="4"/>
    <x v="3"/>
    <x v="3"/>
    <x v="2"/>
    <x v="0"/>
    <x v="3"/>
    <s v=" "/>
  </r>
  <r>
    <n v="5"/>
    <x v="4"/>
    <x v="4"/>
    <x v="3"/>
    <x v="0"/>
    <x v="4"/>
    <n v="5000"/>
  </r>
  <r>
    <n v="6"/>
    <x v="5"/>
    <x v="5"/>
    <x v="3"/>
    <x v="0"/>
    <x v="5"/>
    <m/>
  </r>
  <r>
    <n v="7"/>
    <x v="6"/>
    <x v="6"/>
    <x v="2"/>
    <x v="0"/>
    <x v="6"/>
    <m/>
  </r>
  <r>
    <n v="8"/>
    <x v="7"/>
    <x v="7"/>
    <x v="4"/>
    <x v="0"/>
    <x v="7"/>
    <n v="5000"/>
  </r>
  <r>
    <n v="9"/>
    <x v="8"/>
    <x v="8"/>
    <x v="2"/>
    <x v="0"/>
    <x v="8"/>
    <m/>
  </r>
  <r>
    <n v="10"/>
    <x v="6"/>
    <x v="9"/>
    <x v="3"/>
    <x v="0"/>
    <x v="9"/>
    <n v="10000"/>
  </r>
  <r>
    <n v="11"/>
    <x v="9"/>
    <x v="10"/>
    <x v="2"/>
    <x v="0"/>
    <x v="10"/>
    <n v="3000"/>
  </r>
  <r>
    <n v="12"/>
    <x v="10"/>
    <x v="11"/>
    <x v="1"/>
    <x v="0"/>
    <x v="11"/>
    <n v="3000"/>
  </r>
  <r>
    <n v="13"/>
    <x v="11"/>
    <x v="12"/>
    <x v="3"/>
    <x v="0"/>
    <x v="12"/>
    <n v="20000"/>
  </r>
  <r>
    <n v="20"/>
    <x v="12"/>
    <x v="13"/>
    <x v="2"/>
    <x v="0"/>
    <x v="6"/>
    <m/>
  </r>
  <r>
    <n v="21"/>
    <x v="13"/>
    <x v="14"/>
    <x v="5"/>
    <x v="0"/>
    <x v="13"/>
    <m/>
  </r>
  <r>
    <n v="30"/>
    <x v="0"/>
    <x v="0"/>
    <x v="4"/>
    <x v="0"/>
    <x v="14"/>
    <m/>
  </r>
  <r>
    <n v="32"/>
    <x v="1"/>
    <x v="1"/>
    <x v="6"/>
    <x v="0"/>
    <x v="1"/>
    <m/>
  </r>
  <r>
    <n v="34"/>
    <x v="2"/>
    <x v="2"/>
    <x v="2"/>
    <x v="0"/>
    <x v="15"/>
    <n v="500"/>
  </r>
  <r>
    <n v="35"/>
    <x v="14"/>
    <x v="3"/>
    <x v="4"/>
    <x v="0"/>
    <x v="16"/>
    <m/>
  </r>
  <r>
    <n v="33"/>
    <x v="15"/>
    <x v="15"/>
    <x v="3"/>
    <x v="0"/>
    <x v="5"/>
    <m/>
  </r>
  <r>
    <n v="36"/>
    <x v="6"/>
    <x v="16"/>
    <x v="6"/>
    <x v="0"/>
    <x v="6"/>
    <m/>
  </r>
  <r>
    <n v="40"/>
    <x v="16"/>
    <x v="17"/>
    <x v="1"/>
    <x v="0"/>
    <x v="2"/>
    <n v="500"/>
  </r>
  <r>
    <n v="41"/>
    <x v="8"/>
    <x v="18"/>
    <x v="6"/>
    <x v="0"/>
    <x v="8"/>
    <m/>
  </r>
  <r>
    <n v="42"/>
    <x v="6"/>
    <x v="19"/>
    <x v="7"/>
    <x v="0"/>
    <x v="17"/>
    <m/>
  </r>
  <r>
    <n v="43"/>
    <x v="17"/>
    <x v="20"/>
    <x v="2"/>
    <x v="0"/>
    <x v="18"/>
    <n v="2000"/>
  </r>
  <r>
    <n v="44"/>
    <x v="9"/>
    <x v="21"/>
    <x v="8"/>
    <x v="0"/>
    <x v="10"/>
    <m/>
  </r>
  <r>
    <n v="45"/>
    <x v="10"/>
    <x v="22"/>
    <x v="2"/>
    <x v="0"/>
    <x v="19"/>
    <n v="500"/>
  </r>
  <r>
    <n v="55"/>
    <x v="18"/>
    <x v="16"/>
    <x v="8"/>
    <x v="0"/>
    <x v="6"/>
    <m/>
  </r>
  <r>
    <n v="47"/>
    <x v="16"/>
    <x v="23"/>
    <x v="5"/>
    <x v="0"/>
    <x v="2"/>
    <n v="500"/>
  </r>
  <r>
    <n v="48"/>
    <x v="19"/>
    <x v="18"/>
    <x v="4"/>
    <x v="0"/>
    <x v="8"/>
    <m/>
  </r>
  <r>
    <n v="65"/>
    <x v="20"/>
    <x v="19"/>
    <x v="7"/>
    <x v="0"/>
    <x v="17"/>
    <m/>
  </r>
  <r>
    <n v="61"/>
    <x v="21"/>
    <x v="21"/>
    <x v="2"/>
    <x v="0"/>
    <x v="10"/>
    <n v="5000"/>
  </r>
  <r>
    <n v="67"/>
    <x v="22"/>
    <x v="12"/>
    <x v="7"/>
    <x v="0"/>
    <x v="17"/>
    <n v="5000"/>
  </r>
  <r>
    <n v="68"/>
    <x v="23"/>
    <x v="13"/>
    <x v="6"/>
    <x v="0"/>
    <x v="6"/>
    <n v="500"/>
  </r>
  <r>
    <n v="69"/>
    <x v="13"/>
    <x v="24"/>
    <x v="2"/>
    <x v="0"/>
    <x v="5"/>
    <n v="1000"/>
  </r>
  <r>
    <n v="71"/>
    <x v="24"/>
    <x v="22"/>
    <x v="4"/>
    <x v="0"/>
    <x v="19"/>
    <n v="1000"/>
  </r>
  <r>
    <n v="81"/>
    <x v="24"/>
    <x v="25"/>
    <x v="2"/>
    <x v="0"/>
    <x v="20"/>
    <n v="10000"/>
  </r>
  <r>
    <n v="82"/>
    <x v="4"/>
    <x v="26"/>
    <x v="2"/>
    <x v="0"/>
    <x v="21"/>
    <n v="1500"/>
  </r>
  <r>
    <n v="83"/>
    <x v="19"/>
    <x v="27"/>
    <x v="8"/>
    <x v="0"/>
    <x v="8"/>
    <m/>
  </r>
  <r>
    <n v="84"/>
    <x v="8"/>
    <x v="27"/>
    <x v="5"/>
    <x v="0"/>
    <x v="22"/>
    <n v="1000"/>
  </r>
  <r>
    <n v="85"/>
    <x v="13"/>
    <x v="28"/>
    <x v="4"/>
    <x v="0"/>
    <x v="23"/>
    <m/>
  </r>
  <r>
    <n v="86"/>
    <x v="25"/>
    <x v="28"/>
    <x v="5"/>
    <x v="0"/>
    <x v="24"/>
    <m/>
  </r>
  <r>
    <n v="87"/>
    <x v="26"/>
    <x v="29"/>
    <x v="2"/>
    <x v="0"/>
    <x v="24"/>
    <m/>
  </r>
  <r>
    <n v="88"/>
    <x v="0"/>
    <x v="30"/>
    <x v="4"/>
    <x v="0"/>
    <x v="14"/>
    <n v="1000"/>
  </r>
  <r>
    <n v="98"/>
    <x v="26"/>
    <x v="31"/>
    <x v="0"/>
    <x v="1"/>
    <x v="25"/>
    <n v="25000"/>
  </r>
  <r>
    <n v="99"/>
    <x v="7"/>
    <x v="32"/>
    <x v="4"/>
    <x v="1"/>
    <x v="26"/>
    <n v="500"/>
  </r>
  <r>
    <n v="109"/>
    <x v="27"/>
    <x v="33"/>
    <x v="4"/>
    <x v="1"/>
    <x v="27"/>
    <n v="1500"/>
  </r>
  <r>
    <n v="106"/>
    <x v="27"/>
    <x v="34"/>
    <x v="4"/>
    <x v="1"/>
    <x v="28"/>
    <m/>
  </r>
  <r>
    <n v="107"/>
    <x v="28"/>
    <x v="35"/>
    <x v="5"/>
    <x v="1"/>
    <x v="29"/>
    <n v="1000"/>
  </r>
  <r>
    <n v="200"/>
    <x v="29"/>
    <x v="36"/>
    <x v="4"/>
    <x v="2"/>
    <x v="20"/>
    <n v="2000"/>
  </r>
  <r>
    <n v="108"/>
    <x v="30"/>
    <x v="37"/>
    <x v="4"/>
    <x v="2"/>
    <x v="20"/>
    <n v="2000"/>
  </r>
  <r>
    <n v="206"/>
    <x v="31"/>
    <x v="38"/>
    <x v="4"/>
    <x v="2"/>
    <x v="30"/>
    <n v="2000"/>
  </r>
  <r>
    <n v="201"/>
    <x v="32"/>
    <x v="39"/>
    <x v="0"/>
    <x v="2"/>
    <x v="31"/>
    <n v="2000"/>
  </r>
  <r>
    <n v="211"/>
    <x v="33"/>
    <x v="40"/>
    <x v="0"/>
    <x v="3"/>
    <x v="32"/>
    <n v="25000"/>
  </r>
  <r>
    <n v="212"/>
    <x v="34"/>
    <x v="41"/>
    <x v="4"/>
    <x v="3"/>
    <x v="33"/>
    <m/>
  </r>
  <r>
    <n v="298"/>
    <x v="35"/>
    <x v="2"/>
    <x v="0"/>
    <x v="4"/>
    <x v="3"/>
    <m/>
  </r>
  <r>
    <n v="250"/>
    <x v="36"/>
    <x v="8"/>
    <x v="4"/>
    <x v="4"/>
    <x v="34"/>
    <m/>
  </r>
  <r>
    <n v="260"/>
    <x v="37"/>
    <x v="42"/>
    <x v="0"/>
    <x v="5"/>
    <x v="12"/>
    <n v="3000"/>
  </r>
  <r>
    <n v="255"/>
    <x v="38"/>
    <x v="43"/>
    <x v="4"/>
    <x v="5"/>
    <x v="35"/>
    <m/>
  </r>
  <r>
    <n v="261"/>
    <x v="39"/>
    <x v="44"/>
    <x v="4"/>
    <x v="5"/>
    <x v="34"/>
    <m/>
  </r>
  <r>
    <n v="252"/>
    <x v="40"/>
    <x v="8"/>
    <x v="4"/>
    <x v="4"/>
    <x v="36"/>
    <m/>
  </r>
  <r>
    <n v="352"/>
    <x v="41"/>
    <x v="45"/>
    <x v="4"/>
    <x v="4"/>
    <x v="35"/>
    <m/>
  </r>
  <r>
    <n v="272"/>
    <x v="42"/>
    <x v="12"/>
    <x v="4"/>
    <x v="4"/>
    <x v="37"/>
    <m/>
  </r>
  <r>
    <n v="288"/>
    <x v="0"/>
    <x v="46"/>
    <x v="4"/>
    <x v="0"/>
    <x v="1"/>
    <n v="3000"/>
  </r>
  <r>
    <n v="289"/>
    <x v="43"/>
    <x v="47"/>
    <x v="0"/>
    <x v="6"/>
    <x v="38"/>
    <n v="20000"/>
  </r>
  <r>
    <n v="290"/>
    <x v="43"/>
    <x v="48"/>
    <x v="4"/>
    <x v="6"/>
    <x v="39"/>
    <n v="5000"/>
  </r>
  <r>
    <n v="291"/>
    <x v="44"/>
    <x v="49"/>
    <x v="0"/>
    <x v="7"/>
    <x v="40"/>
    <n v="15000"/>
  </r>
  <r>
    <n v="292"/>
    <x v="45"/>
    <x v="21"/>
    <x v="4"/>
    <x v="7"/>
    <x v="26"/>
    <m/>
  </r>
  <r>
    <n v="293"/>
    <x v="46"/>
    <x v="50"/>
    <x v="4"/>
    <x v="7"/>
    <x v="26"/>
    <m/>
  </r>
  <r>
    <n v="294"/>
    <x v="47"/>
    <x v="51"/>
    <x v="4"/>
    <x v="7"/>
    <x v="26"/>
    <m/>
  </r>
  <r>
    <n v="295"/>
    <x v="47"/>
    <x v="21"/>
    <x v="4"/>
    <x v="7"/>
    <x v="26"/>
    <n v="1000"/>
  </r>
  <r>
    <n v="296"/>
    <x v="48"/>
    <x v="52"/>
    <x v="5"/>
    <x v="7"/>
    <x v="39"/>
    <m/>
  </r>
  <r>
    <n v="297"/>
    <x v="49"/>
    <x v="53"/>
    <x v="8"/>
    <x v="7"/>
    <x v="26"/>
    <m/>
  </r>
  <r>
    <n v="1298"/>
    <x v="50"/>
    <x v="54"/>
    <x v="4"/>
    <x v="7"/>
    <x v="41"/>
    <m/>
  </r>
  <r>
    <n v="299"/>
    <x v="51"/>
    <x v="55"/>
    <x v="5"/>
    <x v="7"/>
    <x v="37"/>
    <n v="5000"/>
  </r>
  <r>
    <n v="301"/>
    <x v="52"/>
    <x v="56"/>
    <x v="7"/>
    <x v="7"/>
    <x v="42"/>
    <n v="5000"/>
  </r>
  <r>
    <n v="399"/>
    <x v="53"/>
    <x v="57"/>
    <x v="0"/>
    <x v="8"/>
    <x v="43"/>
    <n v="5000"/>
  </r>
  <r>
    <n v="401"/>
    <x v="54"/>
    <x v="58"/>
    <x v="7"/>
    <x v="8"/>
    <x v="44"/>
    <n v="20000"/>
  </r>
  <r>
    <n v="402"/>
    <x v="55"/>
    <x v="21"/>
    <x v="4"/>
    <x v="5"/>
    <x v="45"/>
    <m/>
  </r>
  <r>
    <n v="501"/>
    <x v="56"/>
    <x v="59"/>
    <x v="4"/>
    <x v="8"/>
    <x v="26"/>
    <m/>
  </r>
  <r>
    <n v="502"/>
    <x v="57"/>
    <x v="59"/>
    <x v="4"/>
    <x v="8"/>
    <x v="34"/>
    <m/>
  </r>
  <r>
    <n v="505"/>
    <x v="58"/>
    <x v="59"/>
    <x v="4"/>
    <x v="8"/>
    <x v="46"/>
    <m/>
  </r>
  <r>
    <n v="503"/>
    <x v="59"/>
    <x v="60"/>
    <x v="4"/>
    <x v="8"/>
    <x v="47"/>
    <n v="10000"/>
  </r>
  <r>
    <n v="10348"/>
    <x v="60"/>
    <x v="31"/>
    <x v="4"/>
    <x v="0"/>
    <x v="48"/>
    <n v="3000"/>
  </r>
  <r>
    <n v="10083"/>
    <x v="61"/>
    <x v="61"/>
    <x v="2"/>
    <x v="8"/>
    <x v="20"/>
    <n v="1500"/>
  </r>
  <r>
    <n v="10082"/>
    <x v="62"/>
    <x v="62"/>
    <x v="2"/>
    <x v="8"/>
    <x v="27"/>
    <n v="1500"/>
  </r>
  <r>
    <n v="11085"/>
    <x v="63"/>
    <x v="63"/>
    <x v="2"/>
    <x v="7"/>
    <x v="49"/>
    <n v="3000"/>
  </r>
  <r>
    <n v="10085"/>
    <x v="64"/>
    <x v="64"/>
    <x v="2"/>
    <x v="7"/>
    <x v="26"/>
    <n v="3000"/>
  </r>
  <r>
    <n v="10086"/>
    <x v="65"/>
    <x v="65"/>
    <x v="4"/>
    <x v="9"/>
    <x v="34"/>
    <n v="5000"/>
  </r>
  <r>
    <n v="10087"/>
    <x v="66"/>
    <x v="66"/>
    <x v="0"/>
    <x v="9"/>
    <x v="17"/>
    <m/>
  </r>
  <r>
    <n v="10088"/>
    <x v="67"/>
    <x v="64"/>
    <x v="2"/>
    <x v="7"/>
    <x v="50"/>
    <m/>
  </r>
  <r>
    <n v="10089"/>
    <x v="67"/>
    <x v="49"/>
    <x v="7"/>
    <x v="7"/>
    <x v="6"/>
    <n v="5000"/>
  </r>
  <r>
    <n v="19349"/>
    <x v="8"/>
    <x v="31"/>
    <x v="2"/>
    <x v="0"/>
    <x v="51"/>
    <m/>
  </r>
  <r>
    <n v="19359"/>
    <x v="68"/>
    <x v="31"/>
    <x v="2"/>
    <x v="0"/>
    <x v="3"/>
    <m/>
  </r>
  <r>
    <n v="19369"/>
    <x v="16"/>
    <x v="31"/>
    <x v="2"/>
    <x v="0"/>
    <x v="52"/>
    <m/>
  </r>
  <r>
    <n v="19459"/>
    <x v="69"/>
    <x v="17"/>
    <x v="2"/>
    <x v="0"/>
    <x v="53"/>
    <m/>
  </r>
  <r>
    <n v="18369"/>
    <x v="16"/>
    <x v="67"/>
    <x v="2"/>
    <x v="0"/>
    <x v="54"/>
    <m/>
  </r>
  <r>
    <n v="10090"/>
    <x v="70"/>
    <x v="68"/>
    <x v="2"/>
    <x v="7"/>
    <x v="34"/>
    <m/>
  </r>
  <r>
    <n v="10091"/>
    <x v="71"/>
    <x v="69"/>
    <x v="2"/>
    <x v="7"/>
    <x v="3"/>
    <n v="5000"/>
  </r>
  <r>
    <n v="10092"/>
    <x v="72"/>
    <x v="70"/>
    <x v="0"/>
    <x v="10"/>
    <x v="55"/>
    <m/>
  </r>
  <r>
    <n v="10093"/>
    <x v="73"/>
    <x v="71"/>
    <x v="4"/>
    <x v="10"/>
    <x v="34"/>
    <m/>
  </r>
  <r>
    <n v="10094"/>
    <x v="74"/>
    <x v="72"/>
    <x v="4"/>
    <x v="10"/>
    <x v="34"/>
    <m/>
  </r>
  <r>
    <n v="10095"/>
    <x v="75"/>
    <x v="73"/>
    <x v="2"/>
    <x v="7"/>
    <x v="11"/>
    <m/>
  </r>
  <r>
    <n v="10096"/>
    <x v="76"/>
    <x v="74"/>
    <x v="7"/>
    <x v="7"/>
    <x v="20"/>
    <m/>
  </r>
  <r>
    <n v="10097"/>
    <x v="77"/>
    <x v="75"/>
    <x v="2"/>
    <x v="0"/>
    <x v="56"/>
    <m/>
  </r>
  <r>
    <n v="10098"/>
    <x v="2"/>
    <x v="15"/>
    <x v="2"/>
    <x v="0"/>
    <x v="57"/>
    <m/>
  </r>
  <r>
    <n v="10099"/>
    <x v="78"/>
    <x v="49"/>
    <x v="7"/>
    <x v="7"/>
    <x v="23"/>
    <n v="3000"/>
  </r>
  <r>
    <n v="10100"/>
    <x v="68"/>
    <x v="76"/>
    <x v="0"/>
    <x v="11"/>
    <x v="16"/>
    <n v="10000"/>
  </r>
  <r>
    <n v="10101"/>
    <x v="79"/>
    <x v="77"/>
    <x v="4"/>
    <x v="11"/>
    <x v="58"/>
    <n v="2000"/>
  </r>
  <r>
    <n v="10102"/>
    <x v="80"/>
    <x v="78"/>
    <x v="4"/>
    <x v="11"/>
    <x v="28"/>
    <n v="2000"/>
  </r>
  <r>
    <n v="10103"/>
    <x v="81"/>
    <x v="79"/>
    <x v="2"/>
    <x v="7"/>
    <x v="33"/>
    <m/>
  </r>
  <r>
    <n v="10104"/>
    <x v="82"/>
    <x v="78"/>
    <x v="4"/>
    <x v="11"/>
    <x v="58"/>
    <n v="1000"/>
  </r>
  <r>
    <n v="10105"/>
    <x v="83"/>
    <x v="77"/>
    <x v="4"/>
    <x v="11"/>
    <x v="59"/>
    <m/>
  </r>
  <r>
    <n v="10106"/>
    <x v="84"/>
    <x v="80"/>
    <x v="2"/>
    <x v="0"/>
    <x v="47"/>
    <m/>
  </r>
  <r>
    <n v="10107"/>
    <x v="85"/>
    <x v="81"/>
    <x v="2"/>
    <x v="0"/>
    <x v="15"/>
    <m/>
  </r>
  <r>
    <n v="10108"/>
    <x v="8"/>
    <x v="82"/>
    <x v="2"/>
    <x v="0"/>
    <x v="56"/>
    <m/>
  </r>
  <r>
    <n v="10109"/>
    <x v="83"/>
    <x v="83"/>
    <x v="4"/>
    <x v="11"/>
    <x v="60"/>
    <m/>
  </r>
  <r>
    <n v="10110"/>
    <x v="86"/>
    <x v="84"/>
    <x v="5"/>
    <x v="11"/>
    <x v="27"/>
    <m/>
  </r>
  <r>
    <n v="10111"/>
    <x v="87"/>
    <x v="85"/>
    <x v="0"/>
    <x v="12"/>
    <x v="32"/>
    <n v="10000"/>
  </r>
  <r>
    <n v="10112"/>
    <x v="68"/>
    <x v="86"/>
    <x v="4"/>
    <x v="12"/>
    <x v="39"/>
    <n v="5000"/>
  </r>
  <r>
    <n v="10113"/>
    <x v="88"/>
    <x v="82"/>
    <x v="0"/>
    <x v="13"/>
    <x v="9"/>
    <m/>
  </r>
  <r>
    <n v="10114"/>
    <x v="89"/>
    <x v="43"/>
    <x v="4"/>
    <x v="13"/>
    <x v="61"/>
    <m/>
  </r>
  <r>
    <n v="10115"/>
    <x v="8"/>
    <x v="8"/>
    <x v="2"/>
    <x v="0"/>
    <x v="62"/>
    <m/>
  </r>
  <r>
    <n v="10116"/>
    <x v="90"/>
    <x v="87"/>
    <x v="7"/>
    <x v="7"/>
    <x v="30"/>
    <m/>
  </r>
  <r>
    <n v="10117"/>
    <x v="91"/>
    <x v="88"/>
    <x v="2"/>
    <x v="14"/>
    <x v="7"/>
    <m/>
  </r>
  <r>
    <n v="10118"/>
    <x v="0"/>
    <x v="60"/>
    <x v="0"/>
    <x v="14"/>
    <x v="63"/>
    <n v="5000"/>
  </r>
  <r>
    <n v="10119"/>
    <x v="92"/>
    <x v="89"/>
    <x v="4"/>
    <x v="14"/>
    <x v="7"/>
    <m/>
  </r>
  <r>
    <n v="10120"/>
    <x v="93"/>
    <x v="64"/>
    <x v="4"/>
    <x v="14"/>
    <x v="2"/>
    <m/>
  </r>
  <r>
    <n v="10121"/>
    <x v="94"/>
    <x v="90"/>
    <x v="4"/>
    <x v="14"/>
    <x v="35"/>
    <m/>
  </r>
  <r>
    <n v="10122"/>
    <x v="95"/>
    <x v="91"/>
    <x v="0"/>
    <x v="15"/>
    <x v="17"/>
    <m/>
  </r>
  <r>
    <n v="10123"/>
    <x v="96"/>
    <x v="92"/>
    <x v="4"/>
    <x v="15"/>
    <x v="64"/>
    <m/>
  </r>
  <r>
    <n v="10124"/>
    <x v="97"/>
    <x v="93"/>
    <x v="4"/>
    <x v="15"/>
    <x v="47"/>
    <m/>
  </r>
  <r>
    <n v="10125"/>
    <x v="98"/>
    <x v="94"/>
    <x v="2"/>
    <x v="0"/>
    <x v="65"/>
    <m/>
  </r>
  <r>
    <n v="10126"/>
    <x v="26"/>
    <x v="94"/>
    <x v="2"/>
    <x v="0"/>
    <x v="56"/>
    <m/>
  </r>
  <r>
    <n v="10127"/>
    <x v="99"/>
    <x v="95"/>
    <x v="0"/>
    <x v="16"/>
    <x v="17"/>
    <m/>
  </r>
  <r>
    <n v="10128"/>
    <x v="58"/>
    <x v="96"/>
    <x v="4"/>
    <x v="16"/>
    <x v="66"/>
    <m/>
  </r>
  <r>
    <n v="10129"/>
    <x v="100"/>
    <x v="97"/>
    <x v="4"/>
    <x v="16"/>
    <x v="67"/>
    <m/>
  </r>
  <r>
    <n v="10130"/>
    <x v="100"/>
    <x v="98"/>
    <x v="4"/>
    <x v="16"/>
    <x v="34"/>
    <m/>
  </r>
  <r>
    <n v="10131"/>
    <x v="101"/>
    <x v="99"/>
    <x v="4"/>
    <x v="16"/>
    <x v="34"/>
    <m/>
  </r>
  <r>
    <n v="20101"/>
    <x v="4"/>
    <x v="94"/>
    <x v="2"/>
    <x v="0"/>
    <x v="15"/>
    <m/>
  </r>
  <r>
    <n v="20102"/>
    <x v="102"/>
    <x v="18"/>
    <x v="2"/>
    <x v="0"/>
    <x v="47"/>
    <m/>
  </r>
  <r>
    <n v="20103"/>
    <x v="103"/>
    <x v="88"/>
    <x v="0"/>
    <x v="17"/>
    <x v="68"/>
    <m/>
  </r>
  <r>
    <n v="20104"/>
    <x v="104"/>
    <x v="95"/>
    <x v="4"/>
    <x v="17"/>
    <x v="26"/>
    <m/>
  </r>
  <r>
    <n v="20105"/>
    <x v="105"/>
    <x v="57"/>
    <x v="4"/>
    <x v="17"/>
    <x v="26"/>
    <m/>
  </r>
  <r>
    <n v="20106"/>
    <x v="106"/>
    <x v="53"/>
    <x v="7"/>
    <x v="7"/>
    <x v="54"/>
    <m/>
  </r>
  <r>
    <n v="20107"/>
    <x v="91"/>
    <x v="100"/>
    <x v="0"/>
    <x v="18"/>
    <x v="55"/>
    <n v="10000"/>
  </r>
  <r>
    <n v="20108"/>
    <x v="107"/>
    <x v="101"/>
    <x v="4"/>
    <x v="18"/>
    <x v="26"/>
    <n v="10000"/>
  </r>
  <r>
    <n v="20109"/>
    <x v="30"/>
    <x v="2"/>
    <x v="4"/>
    <x v="19"/>
    <x v="35"/>
    <m/>
  </r>
  <r>
    <n v="20110"/>
    <x v="2"/>
    <x v="102"/>
    <x v="4"/>
    <x v="19"/>
    <x v="69"/>
    <m/>
  </r>
  <r>
    <n v="20111"/>
    <x v="108"/>
    <x v="103"/>
    <x v="4"/>
    <x v="19"/>
    <x v="26"/>
    <m/>
  </r>
  <r>
    <n v="20112"/>
    <x v="109"/>
    <x v="104"/>
    <x v="0"/>
    <x v="19"/>
    <x v="4"/>
    <m/>
  </r>
  <r>
    <n v="20113"/>
    <x v="110"/>
    <x v="39"/>
    <x v="4"/>
    <x v="19"/>
    <x v="26"/>
    <m/>
  </r>
  <r>
    <n v="20114"/>
    <x v="111"/>
    <x v="36"/>
    <x v="4"/>
    <x v="19"/>
    <x v="41"/>
    <m/>
  </r>
  <r>
    <n v="20115"/>
    <x v="112"/>
    <x v="105"/>
    <x v="0"/>
    <x v="20"/>
    <x v="70"/>
    <m/>
  </r>
  <r>
    <n v="20116"/>
    <x v="113"/>
    <x v="17"/>
    <x v="4"/>
    <x v="20"/>
    <x v="20"/>
    <m/>
  </r>
  <r>
    <n v="20117"/>
    <x v="26"/>
    <x v="8"/>
    <x v="2"/>
    <x v="0"/>
    <x v="65"/>
    <m/>
  </r>
  <r>
    <n v="20118"/>
    <x v="114"/>
    <x v="53"/>
    <x v="2"/>
    <x v="6"/>
    <x v="33"/>
    <m/>
  </r>
  <r>
    <n v="20119"/>
    <x v="115"/>
    <x v="106"/>
    <x v="2"/>
    <x v="6"/>
    <x v="58"/>
    <m/>
  </r>
  <r>
    <n v="20120"/>
    <x v="112"/>
    <x v="105"/>
    <x v="0"/>
    <x v="20"/>
    <x v="17"/>
    <m/>
  </r>
  <r>
    <n v="20121"/>
    <x v="113"/>
    <x v="17"/>
    <x v="4"/>
    <x v="20"/>
    <x v="16"/>
    <m/>
  </r>
  <r>
    <n v="20122"/>
    <x v="116"/>
    <x v="101"/>
    <x v="4"/>
    <x v="18"/>
    <x v="27"/>
    <m/>
  </r>
  <r>
    <n v="30021"/>
    <x v="117"/>
    <x v="14"/>
    <x v="2"/>
    <x v="7"/>
    <x v="50"/>
    <m/>
  </r>
  <r>
    <n v="30022"/>
    <x v="118"/>
    <x v="54"/>
    <x v="2"/>
    <x v="7"/>
    <x v="45"/>
    <m/>
  </r>
  <r>
    <n v="30023"/>
    <x v="119"/>
    <x v="14"/>
    <x v="5"/>
    <x v="7"/>
    <x v="37"/>
    <m/>
  </r>
  <r>
    <n v="30024"/>
    <x v="120"/>
    <x v="87"/>
    <x v="5"/>
    <x v="7"/>
    <x v="35"/>
    <m/>
  </r>
  <r>
    <n v="30025"/>
    <x v="121"/>
    <x v="74"/>
    <x v="5"/>
    <x v="7"/>
    <x v="35"/>
    <m/>
  </r>
  <r>
    <n v="30026"/>
    <x v="122"/>
    <x v="54"/>
    <x v="2"/>
    <x v="7"/>
    <x v="45"/>
    <m/>
  </r>
  <r>
    <n v="30027"/>
    <x v="123"/>
    <x v="76"/>
    <x v="2"/>
    <x v="0"/>
    <x v="65"/>
    <m/>
  </r>
  <r>
    <n v="30028"/>
    <x v="124"/>
    <x v="75"/>
    <x v="2"/>
    <x v="0"/>
    <x v="33"/>
    <m/>
  </r>
  <r>
    <n v="30029"/>
    <x v="125"/>
    <x v="107"/>
    <x v="2"/>
    <x v="7"/>
    <x v="45"/>
    <m/>
  </r>
  <r>
    <n v="30030"/>
    <x v="126"/>
    <x v="51"/>
    <x v="2"/>
    <x v="7"/>
    <x v="35"/>
    <n v="2000"/>
  </r>
  <r>
    <n v="20221"/>
    <x v="127"/>
    <x v="82"/>
    <x v="2"/>
    <x v="0"/>
    <x v="65"/>
    <m/>
  </r>
  <r>
    <n v="20222"/>
    <x v="128"/>
    <x v="76"/>
    <x v="2"/>
    <x v="0"/>
    <x v="20"/>
    <m/>
  </r>
  <r>
    <n v="20223"/>
    <x v="129"/>
    <x v="75"/>
    <x v="2"/>
    <x v="0"/>
    <x v="71"/>
    <m/>
  </r>
  <r>
    <n v="20224"/>
    <x v="130"/>
    <x v="108"/>
    <x v="2"/>
    <x v="0"/>
    <x v="33"/>
    <m/>
  </r>
  <r>
    <n v="20225"/>
    <x v="131"/>
    <x v="76"/>
    <x v="2"/>
    <x v="0"/>
    <x v="41"/>
    <m/>
  </r>
  <r>
    <n v="20226"/>
    <x v="132"/>
    <x v="109"/>
    <x v="2"/>
    <x v="0"/>
    <x v="72"/>
    <n v="3000"/>
  </r>
  <r>
    <n v="20227"/>
    <x v="16"/>
    <x v="17"/>
    <x v="4"/>
    <x v="20"/>
    <x v="47"/>
    <m/>
  </r>
  <r>
    <n v="20228"/>
    <x v="133"/>
    <x v="110"/>
    <x v="8"/>
    <x v="7"/>
    <x v="60"/>
    <m/>
  </r>
  <r>
    <n v="20229"/>
    <x v="131"/>
    <x v="111"/>
    <x v="2"/>
    <x v="0"/>
    <x v="26"/>
    <m/>
  </r>
  <r>
    <n v="20230"/>
    <x v="132"/>
    <x v="112"/>
    <x v="2"/>
    <x v="0"/>
    <x v="8"/>
    <m/>
  </r>
  <r>
    <n v="90129"/>
    <x v="8"/>
    <x v="113"/>
    <x v="2"/>
    <x v="0"/>
    <x v="27"/>
    <m/>
  </r>
  <r>
    <n v="90130"/>
    <x v="134"/>
    <x v="99"/>
    <x v="4"/>
    <x v="16"/>
    <x v="67"/>
    <m/>
  </r>
  <r>
    <n v="90131"/>
    <x v="111"/>
    <x v="114"/>
    <x v="4"/>
    <x v="19"/>
    <x v="34"/>
    <m/>
  </r>
  <r>
    <n v="90132"/>
    <x v="135"/>
    <x v="115"/>
    <x v="0"/>
    <x v="21"/>
    <x v="73"/>
    <n v="15000"/>
  </r>
  <r>
    <n v="90133"/>
    <x v="136"/>
    <x v="116"/>
    <x v="4"/>
    <x v="21"/>
    <x v="26"/>
    <m/>
  </r>
  <r>
    <n v="90134"/>
    <x v="137"/>
    <x v="117"/>
    <x v="4"/>
    <x v="21"/>
    <x v="59"/>
    <m/>
  </r>
  <r>
    <n v="90135"/>
    <x v="138"/>
    <x v="118"/>
    <x v="0"/>
    <x v="22"/>
    <x v="44"/>
    <n v="25000"/>
  </r>
  <r>
    <n v="90136"/>
    <x v="139"/>
    <x v="119"/>
    <x v="4"/>
    <x v="22"/>
    <x v="47"/>
    <n v="5000"/>
  </r>
  <r>
    <n v="90137"/>
    <x v="140"/>
    <x v="120"/>
    <x v="4"/>
    <x v="22"/>
    <x v="47"/>
    <n v="5000"/>
  </r>
  <r>
    <n v="90138"/>
    <x v="23"/>
    <x v="113"/>
    <x v="2"/>
    <x v="0"/>
    <x v="26"/>
    <m/>
  </r>
  <r>
    <n v="90139"/>
    <x v="141"/>
    <x v="43"/>
    <x v="0"/>
    <x v="23"/>
    <x v="74"/>
    <n v="30000"/>
  </r>
  <r>
    <n v="90140"/>
    <x v="142"/>
    <x v="120"/>
    <x v="4"/>
    <x v="23"/>
    <x v="75"/>
    <m/>
  </r>
  <r>
    <n v="90141"/>
    <x v="143"/>
    <x v="121"/>
    <x v="0"/>
    <x v="24"/>
    <x v="76"/>
    <m/>
  </r>
  <r>
    <n v="90142"/>
    <x v="144"/>
    <x v="122"/>
    <x v="4"/>
    <x v="24"/>
    <x v="55"/>
    <m/>
  </r>
  <r>
    <n v="90143"/>
    <x v="145"/>
    <x v="123"/>
    <x v="8"/>
    <x v="7"/>
    <x v="41"/>
    <m/>
  </r>
  <r>
    <n v="90144"/>
    <x v="146"/>
    <x v="124"/>
    <x v="7"/>
    <x v="7"/>
    <x v="29"/>
    <m/>
  </r>
  <r>
    <n v="90145"/>
    <x v="147"/>
    <x v="14"/>
    <x v="2"/>
    <x v="0"/>
    <x v="26"/>
    <m/>
  </r>
  <r>
    <n v="90146"/>
    <x v="23"/>
    <x v="125"/>
    <x v="7"/>
    <x v="0"/>
    <x v="16"/>
    <m/>
  </r>
  <r>
    <n v="90147"/>
    <x v="148"/>
    <x v="18"/>
    <x v="2"/>
    <x v="0"/>
    <x v="77"/>
    <m/>
  </r>
  <r>
    <n v="70148"/>
    <x v="149"/>
    <x v="126"/>
    <x v="0"/>
    <x v="25"/>
    <x v="55"/>
    <m/>
  </r>
  <r>
    <n v="70149"/>
    <x v="2"/>
    <x v="127"/>
    <x v="4"/>
    <x v="25"/>
    <x v="26"/>
    <m/>
  </r>
  <r>
    <n v="70150"/>
    <x v="150"/>
    <x v="128"/>
    <x v="8"/>
    <x v="7"/>
    <x v="66"/>
    <m/>
  </r>
  <r>
    <n v="70151"/>
    <x v="148"/>
    <x v="129"/>
    <x v="2"/>
    <x v="0"/>
    <x v="77"/>
    <m/>
  </r>
  <r>
    <n v="70152"/>
    <x v="151"/>
    <x v="99"/>
    <x v="4"/>
    <x v="16"/>
    <x v="67"/>
    <m/>
  </r>
  <r>
    <n v="70153"/>
    <x v="7"/>
    <x v="127"/>
    <x v="4"/>
    <x v="25"/>
    <x v="49"/>
    <m/>
  </r>
  <r>
    <n v="70154"/>
    <x v="8"/>
    <x v="130"/>
    <x v="2"/>
    <x v="0"/>
    <x v="77"/>
    <m/>
  </r>
  <r>
    <n v="70155"/>
    <x v="152"/>
    <x v="131"/>
    <x v="0"/>
    <x v="26"/>
    <x v="32"/>
    <n v="50000"/>
  </r>
  <r>
    <n v="70156"/>
    <x v="153"/>
    <x v="4"/>
    <x v="0"/>
    <x v="27"/>
    <x v="78"/>
    <n v="35000"/>
  </r>
  <r>
    <n v="70157"/>
    <x v="154"/>
    <x v="26"/>
    <x v="4"/>
    <x v="28"/>
    <x v="67"/>
    <m/>
  </r>
  <r>
    <n v="70158"/>
    <x v="155"/>
    <x v="132"/>
    <x v="4"/>
    <x v="27"/>
    <x v="50"/>
    <m/>
  </r>
  <r>
    <n v="70159"/>
    <x v="156"/>
    <x v="133"/>
    <x v="4"/>
    <x v="28"/>
    <x v="77"/>
    <m/>
  </r>
  <r>
    <n v="70160"/>
    <x v="157"/>
    <x v="128"/>
    <x v="8"/>
    <x v="7"/>
    <x v="51"/>
    <m/>
  </r>
  <r>
    <n v="70161"/>
    <x v="158"/>
    <x v="68"/>
    <x v="6"/>
    <x v="7"/>
    <x v="66"/>
    <n v="1000"/>
  </r>
  <r>
    <n v="70162"/>
    <x v="159"/>
    <x v="134"/>
    <x v="6"/>
    <x v="28"/>
    <x v="66"/>
    <n v="1000"/>
  </r>
  <r>
    <n v="70163"/>
    <x v="160"/>
    <x v="135"/>
    <x v="6"/>
    <x v="28"/>
    <x v="50"/>
    <m/>
  </r>
  <r>
    <n v="70164"/>
    <x v="160"/>
    <x v="136"/>
    <x v="0"/>
    <x v="28"/>
    <x v="78"/>
    <n v="35000"/>
  </r>
  <r>
    <n v="70165"/>
    <x v="161"/>
    <x v="137"/>
    <x v="4"/>
    <x v="28"/>
    <x v="79"/>
    <n v="3000"/>
  </r>
  <r>
    <n v="70166"/>
    <x v="162"/>
    <x v="138"/>
    <x v="8"/>
    <x v="28"/>
    <x v="79"/>
    <n v="5000"/>
  </r>
  <r>
    <n v="70167"/>
    <x v="163"/>
    <x v="139"/>
    <x v="6"/>
    <x v="28"/>
    <x v="50"/>
    <n v="3000"/>
  </r>
  <r>
    <n v="70168"/>
    <x v="164"/>
    <x v="140"/>
    <x v="6"/>
    <x v="28"/>
    <x v="79"/>
    <n v="5000"/>
  </r>
  <r>
    <n v="70169"/>
    <x v="154"/>
    <x v="141"/>
    <x v="6"/>
    <x v="28"/>
    <x v="79"/>
    <n v="3000"/>
  </r>
  <r>
    <n v="50270"/>
    <x v="121"/>
    <x v="95"/>
    <x v="6"/>
    <x v="16"/>
    <x v="66"/>
    <m/>
  </r>
  <r>
    <n v="50271"/>
    <x v="165"/>
    <x v="60"/>
    <x v="6"/>
    <x v="16"/>
    <x v="50"/>
    <m/>
  </r>
  <r>
    <n v="50272"/>
    <x v="164"/>
    <x v="26"/>
    <x v="0"/>
    <x v="29"/>
    <x v="25"/>
    <n v="5000"/>
  </r>
  <r>
    <n v="50273"/>
    <x v="166"/>
    <x v="142"/>
    <x v="4"/>
    <x v="29"/>
    <x v="79"/>
    <n v="3000"/>
  </r>
  <r>
    <n v="50274"/>
    <x v="167"/>
    <x v="35"/>
    <x v="6"/>
    <x v="16"/>
    <x v="77"/>
    <m/>
  </r>
  <r>
    <n v="50275"/>
    <x v="168"/>
    <x v="21"/>
    <x v="6"/>
    <x v="7"/>
    <x v="66"/>
    <n v="1000"/>
  </r>
  <r>
    <n v="50276"/>
    <x v="2"/>
    <x v="31"/>
    <x v="0"/>
    <x v="30"/>
    <x v="70"/>
    <n v="5000"/>
  </r>
  <r>
    <n v="50277"/>
    <x v="2"/>
    <x v="29"/>
    <x v="4"/>
    <x v="30"/>
    <x v="34"/>
    <n v="5000"/>
  </r>
  <r>
    <n v="50278"/>
    <x v="169"/>
    <x v="128"/>
    <x v="8"/>
    <x v="7"/>
    <x v="33"/>
    <m/>
  </r>
  <r>
    <n v="50279"/>
    <x v="170"/>
    <x v="143"/>
    <x v="2"/>
    <x v="0"/>
    <x v="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1"/>
    <x v="0"/>
    <x v="0"/>
    <s v="Meghan"/>
    <s v="Agosta"/>
    <x v="0"/>
    <x v="0"/>
    <d v="1987-02-12T00:00:00"/>
    <x v="0"/>
    <x v="0"/>
    <x v="0"/>
    <n v="1987"/>
  </r>
  <r>
    <n v="2"/>
    <x v="0"/>
    <x v="0"/>
    <s v="Rebecca"/>
    <s v="Johnston"/>
    <x v="0"/>
    <x v="1"/>
    <d v="1989-09-24T00:00:00"/>
    <x v="1"/>
    <x v="0"/>
    <x v="1"/>
    <n v="1989"/>
  </r>
  <r>
    <n v="3"/>
    <x v="0"/>
    <x v="0"/>
    <s v="Laura"/>
    <s v="Stacey"/>
    <x v="1"/>
    <x v="2"/>
    <d v="1994-05-05T00:00:00"/>
    <x v="2"/>
    <x v="0"/>
    <x v="2"/>
    <n v="1994"/>
  </r>
  <r>
    <n v="4"/>
    <x v="0"/>
    <x v="0"/>
    <s v="Jennifer"/>
    <s v="Wakefield"/>
    <x v="2"/>
    <x v="3"/>
    <d v="1989-06-15T00:00:00"/>
    <x v="3"/>
    <x v="0"/>
    <x v="1"/>
    <n v="1989"/>
  </r>
  <r>
    <n v="5"/>
    <x v="0"/>
    <x v="0"/>
    <s v="Jillian"/>
    <s v="Saulnier"/>
    <x v="2"/>
    <x v="4"/>
    <d v="1992-03-07T00:00:00"/>
    <x v="4"/>
    <x v="0"/>
    <x v="3"/>
    <n v="1992"/>
  </r>
  <r>
    <n v="6"/>
    <x v="0"/>
    <x v="0"/>
    <s v="Mélodie"/>
    <s v="Daoust"/>
    <x v="3"/>
    <x v="5"/>
    <d v="1992-01-07T00:00:00"/>
    <x v="5"/>
    <x v="0"/>
    <x v="4"/>
    <n v="1992"/>
  </r>
  <r>
    <n v="7"/>
    <x v="0"/>
    <x v="0"/>
    <s v="Bailey"/>
    <s v="Bram"/>
    <x v="3"/>
    <x v="6"/>
    <d v="1990-09-05T00:00:00"/>
    <x v="6"/>
    <x v="0"/>
    <x v="5"/>
    <n v="1990"/>
  </r>
  <r>
    <n v="8"/>
    <x v="0"/>
    <x v="0"/>
    <s v="Brianne"/>
    <s v="Jenner"/>
    <x v="4"/>
    <x v="7"/>
    <d v="1991-05-04T00:00:00"/>
    <x v="7"/>
    <x v="0"/>
    <x v="4"/>
    <n v="1991"/>
  </r>
  <r>
    <n v="9"/>
    <x v="0"/>
    <x v="0"/>
    <s v="Sarah"/>
    <s v="Nurse"/>
    <x v="5"/>
    <x v="8"/>
    <d v="1995-01-04T00:00:00"/>
    <x v="8"/>
    <x v="0"/>
    <x v="2"/>
    <n v="1995"/>
  </r>
  <r>
    <n v="10"/>
    <x v="0"/>
    <x v="0"/>
    <s v="Haley"/>
    <s v="Irwin"/>
    <x v="4"/>
    <x v="9"/>
    <d v="1988-06-06T00:00:00"/>
    <x v="9"/>
    <x v="0"/>
    <x v="6"/>
    <n v="1988"/>
  </r>
  <r>
    <n v="11"/>
    <x v="0"/>
    <x v="0"/>
    <s v="Natalie"/>
    <s v="Spooner"/>
    <x v="6"/>
    <x v="4"/>
    <d v="1990-10-17T00:00:00"/>
    <x v="10"/>
    <x v="0"/>
    <x v="5"/>
    <n v="1990"/>
  </r>
  <r>
    <n v="12"/>
    <x v="0"/>
    <x v="0"/>
    <s v="Emily"/>
    <s v="Clark"/>
    <x v="4"/>
    <x v="2"/>
    <d v="1995-11-28T00:00:00"/>
    <x v="11"/>
    <x v="0"/>
    <x v="7"/>
    <n v="1995"/>
  </r>
  <r>
    <n v="13"/>
    <x v="0"/>
    <x v="0"/>
    <s v="Marie-Philip"/>
    <s v="Poulin"/>
    <x v="7"/>
    <x v="4"/>
    <d v="1991-03-28T00:00:00"/>
    <x v="12"/>
    <x v="0"/>
    <x v="4"/>
    <n v="1991"/>
  </r>
  <r>
    <n v="14"/>
    <x v="0"/>
    <x v="0"/>
    <s v="Blayre"/>
    <s v="Turnbull"/>
    <x v="8"/>
    <x v="5"/>
    <d v="1993-07-15T00:00:00"/>
    <x v="13"/>
    <x v="0"/>
    <x v="8"/>
    <n v="1993"/>
  </r>
  <r>
    <n v="15"/>
    <x v="0"/>
    <x v="0"/>
    <s v="Jocelyne"/>
    <s v="Larocque"/>
    <x v="2"/>
    <x v="10"/>
    <d v="1988-05-19T00:00:00"/>
    <x v="14"/>
    <x v="1"/>
    <x v="6"/>
    <n v="1988"/>
  </r>
  <r>
    <n v="16"/>
    <x v="0"/>
    <x v="0"/>
    <s v="Brigette"/>
    <s v="Lacquette"/>
    <x v="9"/>
    <x v="9"/>
    <d v="1992-10-11T00:00:00"/>
    <x v="15"/>
    <x v="1"/>
    <x v="3"/>
    <n v="1992"/>
  </r>
  <r>
    <n v="17"/>
    <x v="0"/>
    <x v="0"/>
    <s v="Lauriane"/>
    <s v="Rougeau"/>
    <x v="10"/>
    <x v="11"/>
    <d v="1990-04-12T00:00:00"/>
    <x v="16"/>
    <x v="1"/>
    <x v="5"/>
    <n v="1990"/>
  </r>
  <r>
    <n v="18"/>
    <x v="0"/>
    <x v="0"/>
    <s v="Laura"/>
    <s v="Fortino"/>
    <x v="9"/>
    <x v="12"/>
    <d v="1991-01-30T00:00:00"/>
    <x v="8"/>
    <x v="1"/>
    <x v="5"/>
    <n v="1991"/>
  </r>
  <r>
    <n v="19"/>
    <x v="0"/>
    <x v="0"/>
    <s v="Meaghan"/>
    <s v="Mikkelson"/>
    <x v="6"/>
    <x v="11"/>
    <d v="1985-01-04T00:00:00"/>
    <x v="17"/>
    <x v="1"/>
    <x v="9"/>
    <n v="1985"/>
  </r>
  <r>
    <n v="20"/>
    <x v="0"/>
    <x v="0"/>
    <s v="Renata"/>
    <s v="Fast"/>
    <x v="2"/>
    <x v="5"/>
    <d v="1994-10-06T00:00:00"/>
    <x v="18"/>
    <x v="1"/>
    <x v="2"/>
    <n v="1994"/>
  </r>
  <r>
    <n v="21"/>
    <x v="0"/>
    <x v="0"/>
    <s v="Shannon"/>
    <s v="Szabados"/>
    <x v="1"/>
    <x v="13"/>
    <d v="1986-08-06T00:00:00"/>
    <x v="19"/>
    <x v="2"/>
    <x v="0"/>
    <n v="1986"/>
  </r>
  <r>
    <n v="22"/>
    <x v="0"/>
    <x v="0"/>
    <s v="Geneviève"/>
    <s v="Lacasse"/>
    <x v="11"/>
    <x v="14"/>
    <d v="1989-05-05T00:00:00"/>
    <x v="20"/>
    <x v="2"/>
    <x v="1"/>
    <n v="1989"/>
  </r>
  <r>
    <n v="23"/>
    <x v="0"/>
    <x v="0"/>
    <s v="Ann-Renée"/>
    <s v="Desbiens"/>
    <x v="10"/>
    <x v="5"/>
    <d v="1994-04-10T00:00:00"/>
    <x v="21"/>
    <x v="2"/>
    <x v="2"/>
    <n v="1994"/>
  </r>
  <r>
    <n v="24"/>
    <x v="1"/>
    <x v="0"/>
    <s v="Gilbert"/>
    <s v="Brulé"/>
    <x v="4"/>
    <x v="4"/>
    <d v="1987-01-01T00:00:00"/>
    <x v="22"/>
    <x v="0"/>
    <x v="0"/>
    <n v="1987"/>
  </r>
  <r>
    <n v="25"/>
    <x v="1"/>
    <x v="0"/>
    <s v="Wojtek"/>
    <s v="Wolski"/>
    <x v="9"/>
    <x v="9"/>
    <d v="1986-02-24T00:00:00"/>
    <x v="23"/>
    <x v="0"/>
    <x v="10"/>
    <n v="1986"/>
  </r>
  <r>
    <n v="26"/>
    <x v="1"/>
    <x v="0"/>
    <s v="Derek"/>
    <s v="Roy"/>
    <x v="3"/>
    <x v="15"/>
    <d v="1983-05-04T00:00:00"/>
    <x v="24"/>
    <x v="0"/>
    <x v="11"/>
    <n v="1983"/>
  </r>
  <r>
    <n v="27"/>
    <x v="1"/>
    <x v="0"/>
    <s v="Chris"/>
    <s v="Kelly"/>
    <x v="12"/>
    <x v="1"/>
    <d v="1980-11-11T00:00:00"/>
    <x v="23"/>
    <x v="0"/>
    <x v="12"/>
    <n v="1980"/>
  </r>
  <r>
    <n v="28"/>
    <x v="1"/>
    <x v="0"/>
    <s v="Rob"/>
    <s v="Klinkhammer"/>
    <x v="8"/>
    <x v="16"/>
    <d v="1986-08-12T00:00:00"/>
    <x v="25"/>
    <x v="0"/>
    <x v="0"/>
    <n v="1986"/>
  </r>
  <r>
    <n v="29"/>
    <x v="1"/>
    <x v="0"/>
    <s v="Brandon"/>
    <s v="Kozun"/>
    <x v="5"/>
    <x v="6"/>
    <d v="1990-03-08T00:00:00"/>
    <x v="26"/>
    <x v="0"/>
    <x v="5"/>
    <n v="1990"/>
  </r>
  <r>
    <n v="30"/>
    <x v="1"/>
    <x v="0"/>
    <s v="Quinton"/>
    <s v="Howden"/>
    <x v="6"/>
    <x v="17"/>
    <d v="1992-01-21T00:00:00"/>
    <x v="27"/>
    <x v="0"/>
    <x v="4"/>
    <n v="1992"/>
  </r>
  <r>
    <n v="31"/>
    <x v="1"/>
    <x v="0"/>
    <s v="René"/>
    <s v="Bourque"/>
    <x v="0"/>
    <x v="17"/>
    <d v="1981-12-10T00:00:00"/>
    <x v="28"/>
    <x v="0"/>
    <x v="13"/>
    <n v="1981"/>
  </r>
  <r>
    <n v="32"/>
    <x v="1"/>
    <x v="0"/>
    <s v="Andrew"/>
    <s v="Ebbett"/>
    <x v="7"/>
    <x v="1"/>
    <d v="1983-01-02T00:00:00"/>
    <x v="29"/>
    <x v="0"/>
    <x v="14"/>
    <n v="1983"/>
  </r>
  <r>
    <n v="33"/>
    <x v="1"/>
    <x v="0"/>
    <s v="Mason"/>
    <s v="Raymond"/>
    <x v="2"/>
    <x v="13"/>
    <d v="1985-09-17T00:00:00"/>
    <x v="30"/>
    <x v="0"/>
    <x v="10"/>
    <n v="1985"/>
  </r>
  <r>
    <n v="34"/>
    <x v="1"/>
    <x v="0"/>
    <s v="Eric"/>
    <s v="O’Dell"/>
    <x v="5"/>
    <x v="8"/>
    <d v="1990-06-21T00:00:00"/>
    <x v="31"/>
    <x v="0"/>
    <x v="5"/>
    <n v="1990"/>
  </r>
  <r>
    <n v="35"/>
    <x v="1"/>
    <x v="0"/>
    <s v="Maxim"/>
    <s v="Lapierre"/>
    <x v="13"/>
    <x v="12"/>
    <d v="1985-03-29T00:00:00"/>
    <x v="32"/>
    <x v="0"/>
    <x v="10"/>
    <n v="1985"/>
  </r>
  <r>
    <n v="36"/>
    <x v="1"/>
    <x v="0"/>
    <s v="Linden"/>
    <s v="Vey"/>
    <x v="12"/>
    <x v="11"/>
    <d v="1991-07-17T00:00:00"/>
    <x v="33"/>
    <x v="0"/>
    <x v="4"/>
    <n v="1991"/>
  </r>
  <r>
    <n v="37"/>
    <x v="1"/>
    <x v="0"/>
    <s v="Christian"/>
    <s v="Thomas"/>
    <x v="6"/>
    <x v="16"/>
    <d v="1992-05-26T00:00:00"/>
    <x v="23"/>
    <x v="0"/>
    <x v="3"/>
    <n v="1992"/>
  </r>
  <r>
    <n v="38"/>
    <x v="1"/>
    <x v="0"/>
    <s v="Karl"/>
    <s v="Stollery"/>
    <x v="1"/>
    <x v="18"/>
    <d v="1987-11-21T00:00:00"/>
    <x v="34"/>
    <x v="1"/>
    <x v="15"/>
    <n v="1987"/>
  </r>
  <r>
    <n v="39"/>
    <x v="1"/>
    <x v="0"/>
    <s v="Chris"/>
    <s v="Lee"/>
    <x v="9"/>
    <x v="19"/>
    <d v="1980-10-03T00:00:00"/>
    <x v="35"/>
    <x v="1"/>
    <x v="12"/>
    <n v="1980"/>
  </r>
  <r>
    <n v="40"/>
    <x v="1"/>
    <x v="0"/>
    <s v="Chay"/>
    <s v="Genoway"/>
    <x v="7"/>
    <x v="2"/>
    <d v="1986-12-20T00:00:00"/>
    <x v="36"/>
    <x v="1"/>
    <x v="0"/>
    <n v="1986"/>
  </r>
  <r>
    <n v="41"/>
    <x v="1"/>
    <x v="0"/>
    <s v="Marc-Andre"/>
    <s v="Gragnani"/>
    <x v="14"/>
    <x v="18"/>
    <d v="1987-03-11T00:00:00"/>
    <x v="37"/>
    <x v="1"/>
    <x v="15"/>
    <n v="1987"/>
  </r>
  <r>
    <n v="42"/>
    <x v="1"/>
    <x v="0"/>
    <s v="Stefan"/>
    <s v="Elliott"/>
    <x v="5"/>
    <x v="3"/>
    <d v="1991-01-30T00:00:00"/>
    <x v="22"/>
    <x v="1"/>
    <x v="5"/>
    <n v="1991"/>
  </r>
  <r>
    <n v="43"/>
    <x v="1"/>
    <x v="0"/>
    <s v="Cody"/>
    <s v="Goloubef"/>
    <x v="9"/>
    <x v="10"/>
    <d v="1989-11-30T00:00:00"/>
    <x v="7"/>
    <x v="1"/>
    <x v="1"/>
    <n v="1989"/>
  </r>
  <r>
    <n v="44"/>
    <x v="1"/>
    <x v="0"/>
    <s v="Mat"/>
    <s v="Robinson"/>
    <x v="2"/>
    <x v="16"/>
    <d v="1986-06-20T00:00:00"/>
    <x v="26"/>
    <x v="1"/>
    <x v="0"/>
    <n v="1986"/>
  </r>
  <r>
    <n v="45"/>
    <x v="1"/>
    <x v="0"/>
    <s v="Maxim"/>
    <s v="Noreau"/>
    <x v="14"/>
    <x v="6"/>
    <d v="1987-05-24T00:00:00"/>
    <x v="38"/>
    <x v="1"/>
    <x v="15"/>
    <n v="1987"/>
  </r>
  <r>
    <n v="46"/>
    <x v="1"/>
    <x v="0"/>
    <s v="Ben"/>
    <s v="Scrivens"/>
    <x v="11"/>
    <x v="13"/>
    <d v="1986-09-11T00:00:00"/>
    <x v="39"/>
    <x v="2"/>
    <x v="0"/>
    <n v="1986"/>
  </r>
  <r>
    <n v="47"/>
    <x v="1"/>
    <x v="0"/>
    <s v="Kevin"/>
    <s v="Poulin"/>
    <x v="12"/>
    <x v="5"/>
    <d v="1990-04-12T00:00:00"/>
    <x v="38"/>
    <x v="2"/>
    <x v="5"/>
    <n v="1990"/>
  </r>
  <r>
    <n v="48"/>
    <x v="1"/>
    <x v="0"/>
    <s v="Justin"/>
    <s v="Peters"/>
    <x v="10"/>
    <x v="13"/>
    <d v="1986-08-30T00:00:00"/>
    <x v="40"/>
    <x v="2"/>
    <x v="0"/>
    <n v="1986"/>
  </r>
  <r>
    <n v="49"/>
    <x v="0"/>
    <x v="1"/>
    <s v="Cayla"/>
    <s v="Barnes"/>
    <x v="8"/>
    <x v="14"/>
    <d v="1999-01-07T00:00:00"/>
    <x v="41"/>
    <x v="1"/>
    <x v="16"/>
    <n v="1999"/>
  </r>
  <r>
    <n v="50"/>
    <x v="0"/>
    <x v="1"/>
    <s v="Kacey"/>
    <s v="Bellamy"/>
    <x v="4"/>
    <x v="18"/>
    <d v="1987-04-22T00:00:00"/>
    <x v="42"/>
    <x v="1"/>
    <x v="15"/>
    <n v="1987"/>
  </r>
  <r>
    <n v="51"/>
    <x v="0"/>
    <x v="1"/>
    <s v="Hannah"/>
    <s v="Brandt"/>
    <x v="5"/>
    <x v="7"/>
    <d v="1993-11-27T00:00:00"/>
    <x v="43"/>
    <x v="0"/>
    <x v="8"/>
    <n v="1993"/>
  </r>
  <r>
    <n v="52"/>
    <x v="0"/>
    <x v="1"/>
    <s v="Dani"/>
    <s v="Cameranesi"/>
    <x v="9"/>
    <x v="6"/>
    <d v="1995-06-30T00:00:00"/>
    <x v="44"/>
    <x v="0"/>
    <x v="7"/>
    <n v="1995"/>
  </r>
  <r>
    <n v="53"/>
    <x v="0"/>
    <x v="1"/>
    <s v="Kendall"/>
    <s v="Coyne"/>
    <x v="4"/>
    <x v="3"/>
    <d v="1992-05-25T00:00:00"/>
    <x v="45"/>
    <x v="0"/>
    <x v="3"/>
    <n v="1992"/>
  </r>
  <r>
    <n v="54"/>
    <x v="0"/>
    <x v="1"/>
    <s v="Brianna"/>
    <s v="Decker"/>
    <x v="14"/>
    <x v="9"/>
    <d v="1991-05-13T00:00:00"/>
    <x v="46"/>
    <x v="0"/>
    <x v="4"/>
    <n v="1991"/>
  </r>
  <r>
    <n v="55"/>
    <x v="0"/>
    <x v="1"/>
    <s v="Meghan"/>
    <s v="Duggan"/>
    <x v="11"/>
    <x v="4"/>
    <d v="1987-09-03T00:00:00"/>
    <x v="47"/>
    <x v="0"/>
    <x v="15"/>
    <n v="1987"/>
  </r>
  <r>
    <n v="56"/>
    <x v="0"/>
    <x v="1"/>
    <s v="Kali"/>
    <s v="Flanagan"/>
    <x v="1"/>
    <x v="2"/>
    <d v="1995-09-19T00:00:00"/>
    <x v="18"/>
    <x v="1"/>
    <x v="7"/>
    <n v="1995"/>
  </r>
  <r>
    <n v="57"/>
    <x v="0"/>
    <x v="1"/>
    <s v="Nicole"/>
    <s v="Hensley"/>
    <x v="0"/>
    <x v="13"/>
    <d v="1994-06-23T00:00:00"/>
    <x v="48"/>
    <x v="2"/>
    <x v="2"/>
    <n v="1994"/>
  </r>
  <r>
    <n v="58"/>
    <x v="0"/>
    <x v="1"/>
    <s v="Megan"/>
    <s v="Keller"/>
    <x v="8"/>
    <x v="15"/>
    <d v="1996-05-01T00:00:00"/>
    <x v="49"/>
    <x v="1"/>
    <x v="17"/>
    <n v="1996"/>
  </r>
  <r>
    <n v="59"/>
    <x v="0"/>
    <x v="1"/>
    <s v="Amanda"/>
    <s v="Kessel"/>
    <x v="12"/>
    <x v="8"/>
    <d v="1991-08-28T00:00:00"/>
    <x v="50"/>
    <x v="0"/>
    <x v="4"/>
    <n v="1991"/>
  </r>
  <r>
    <n v="60"/>
    <x v="0"/>
    <x v="1"/>
    <s v="Hilary"/>
    <s v="Knight"/>
    <x v="13"/>
    <x v="8"/>
    <d v="1989-07-12T00:00:00"/>
    <x v="51"/>
    <x v="0"/>
    <x v="1"/>
    <n v="1989"/>
  </r>
  <r>
    <n v="61"/>
    <x v="0"/>
    <x v="1"/>
    <s v="Jocelyne"/>
    <s v="Lamoureux-Davidson"/>
    <x v="6"/>
    <x v="2"/>
    <d v="1989-07-03T00:00:00"/>
    <x v="52"/>
    <x v="0"/>
    <x v="1"/>
    <n v="1989"/>
  </r>
  <r>
    <n v="62"/>
    <x v="0"/>
    <x v="1"/>
    <s v="Monique"/>
    <s v="Lamoureux-Morando"/>
    <x v="1"/>
    <x v="16"/>
    <d v="1989-07-03T00:00:00"/>
    <x v="52"/>
    <x v="0"/>
    <x v="1"/>
    <n v="1989"/>
  </r>
  <r>
    <n v="63"/>
    <x v="0"/>
    <x v="1"/>
    <s v="Gigi"/>
    <s v="Marvin"/>
    <x v="13"/>
    <x v="7"/>
    <d v="1987-03-07T00:00:00"/>
    <x v="53"/>
    <x v="0"/>
    <x v="15"/>
    <n v="1987"/>
  </r>
  <r>
    <n v="64"/>
    <x v="0"/>
    <x v="1"/>
    <s v="Sidney"/>
    <s v="Morin"/>
    <x v="6"/>
    <x v="5"/>
    <d v="1995-06-06T00:00:00"/>
    <x v="54"/>
    <x v="1"/>
    <x v="7"/>
    <n v="1995"/>
  </r>
  <r>
    <n v="65"/>
    <x v="0"/>
    <x v="1"/>
    <s v="Kelly"/>
    <s v="Pannek"/>
    <x v="5"/>
    <x v="11"/>
    <d v="1995-12-29T00:00:00"/>
    <x v="44"/>
    <x v="0"/>
    <x v="7"/>
    <n v="1995"/>
  </r>
  <r>
    <n v="66"/>
    <x v="0"/>
    <x v="1"/>
    <s v="Amanda"/>
    <s v="Pelkey"/>
    <x v="6"/>
    <x v="7"/>
    <d v="1993-05-29T00:00:00"/>
    <x v="55"/>
    <x v="0"/>
    <x v="8"/>
    <n v="1993"/>
  </r>
  <r>
    <n v="67"/>
    <x v="0"/>
    <x v="1"/>
    <s v="Emily"/>
    <s v="Pfalzer"/>
    <x v="6"/>
    <x v="4"/>
    <d v="1993-06-14T00:00:00"/>
    <x v="56"/>
    <x v="1"/>
    <x v="8"/>
    <n v="1993"/>
  </r>
  <r>
    <n v="68"/>
    <x v="0"/>
    <x v="1"/>
    <s v="Alex"/>
    <s v="Rigsby"/>
    <x v="4"/>
    <x v="2"/>
    <d v="1992-01-03T00:00:00"/>
    <x v="57"/>
    <x v="2"/>
    <x v="4"/>
    <n v="1992"/>
  </r>
  <r>
    <n v="69"/>
    <x v="0"/>
    <x v="1"/>
    <s v="Maddie"/>
    <s v="Rooney"/>
    <x v="7"/>
    <x v="16"/>
    <d v="1997-07-07T00:00:00"/>
    <x v="58"/>
    <x v="2"/>
    <x v="18"/>
    <n v="1997"/>
  </r>
  <r>
    <n v="70"/>
    <x v="0"/>
    <x v="1"/>
    <s v="Haley"/>
    <s v="Skarupa"/>
    <x v="9"/>
    <x v="1"/>
    <d v="1994-01-03T00:00:00"/>
    <x v="59"/>
    <x v="0"/>
    <x v="8"/>
    <n v="1994"/>
  </r>
  <r>
    <n v="71"/>
    <x v="0"/>
    <x v="1"/>
    <s v="Lee"/>
    <s v="Stecklein"/>
    <x v="4"/>
    <x v="13"/>
    <d v="1994-04-23T00:00:00"/>
    <x v="60"/>
    <x v="1"/>
    <x v="2"/>
    <n v="1994"/>
  </r>
  <r>
    <n v="72"/>
    <x v="1"/>
    <x v="1"/>
    <s v="Mark"/>
    <s v="Arcobello"/>
    <x v="8"/>
    <x v="0"/>
    <d v="1988-08-12T00:00:00"/>
    <x v="61"/>
    <x v="0"/>
    <x v="6"/>
    <n v="1988"/>
  </r>
  <r>
    <n v="73"/>
    <x v="1"/>
    <x v="1"/>
    <s v="Chad"/>
    <s v="Billins"/>
    <x v="3"/>
    <x v="1"/>
    <d v="1989-05-26T00:00:00"/>
    <x v="62"/>
    <x v="1"/>
    <x v="1"/>
    <n v="1989"/>
  </r>
  <r>
    <n v="74"/>
    <x v="1"/>
    <x v="1"/>
    <s v="Jonathan"/>
    <s v="Blum"/>
    <x v="2"/>
    <x v="15"/>
    <d v="1989-01-30T00:00:00"/>
    <x v="63"/>
    <x v="1"/>
    <x v="6"/>
    <n v="1989"/>
  </r>
  <r>
    <n v="75"/>
    <x v="1"/>
    <x v="1"/>
    <s v="Will"/>
    <s v="Borgen"/>
    <x v="11"/>
    <x v="12"/>
    <d v="1996-12-19T00:00:00"/>
    <x v="64"/>
    <x v="1"/>
    <x v="17"/>
    <n v="1996"/>
  </r>
  <r>
    <n v="76"/>
    <x v="1"/>
    <x v="1"/>
    <s v="Chris"/>
    <s v="Bourque"/>
    <x v="6"/>
    <x v="5"/>
    <d v="1986-01-29T00:00:00"/>
    <x v="65"/>
    <x v="0"/>
    <x v="10"/>
    <n v="1986"/>
  </r>
  <r>
    <n v="77"/>
    <x v="1"/>
    <x v="1"/>
    <s v="Bobby"/>
    <s v="Butler"/>
    <x v="7"/>
    <x v="7"/>
    <d v="1987-04-26T00:00:00"/>
    <x v="66"/>
    <x v="0"/>
    <x v="15"/>
    <n v="1987"/>
  </r>
  <r>
    <n v="78"/>
    <x v="1"/>
    <x v="1"/>
    <s v="Ryan"/>
    <s v="Donato"/>
    <x v="5"/>
    <x v="3"/>
    <d v="1996-04-09T00:00:00"/>
    <x v="67"/>
    <x v="0"/>
    <x v="17"/>
    <n v="1996"/>
  </r>
  <r>
    <n v="79"/>
    <x v="1"/>
    <x v="1"/>
    <s v="Matt"/>
    <s v="Gilroy"/>
    <x v="6"/>
    <x v="7"/>
    <d v="1984-07-20T00:00:00"/>
    <x v="68"/>
    <x v="1"/>
    <x v="9"/>
    <n v="1984"/>
  </r>
  <r>
    <n v="80"/>
    <x v="1"/>
    <x v="1"/>
    <s v="Brian"/>
    <s v="Gionta"/>
    <x v="9"/>
    <x v="8"/>
    <d v="1979-01-18T00:00:00"/>
    <x v="69"/>
    <x v="0"/>
    <x v="19"/>
    <n v="1979"/>
  </r>
  <r>
    <n v="81"/>
    <x v="1"/>
    <x v="1"/>
    <s v="Jordan"/>
    <s v="Greenway"/>
    <x v="1"/>
    <x v="4"/>
    <d v="1997-02-16T00:00:00"/>
    <x v="70"/>
    <x v="0"/>
    <x v="17"/>
    <n v="1997"/>
  </r>
  <r>
    <n v="82"/>
    <x v="1"/>
    <x v="1"/>
    <s v="Ryan"/>
    <s v="Gunderson"/>
    <x v="0"/>
    <x v="1"/>
    <d v="1985-08-16T00:00:00"/>
    <x v="71"/>
    <x v="1"/>
    <x v="10"/>
    <n v="1985"/>
  </r>
  <r>
    <n v="83"/>
    <x v="1"/>
    <x v="1"/>
    <s v="Chad"/>
    <s v="Kolarik"/>
    <x v="4"/>
    <x v="17"/>
    <d v="1986-01-26T00:00:00"/>
    <x v="72"/>
    <x v="0"/>
    <x v="10"/>
    <n v="1986"/>
  </r>
  <r>
    <n v="84"/>
    <x v="1"/>
    <x v="1"/>
    <s v="David"/>
    <s v="Leggio"/>
    <x v="7"/>
    <x v="8"/>
    <d v="1984-07-31T00:00:00"/>
    <x v="56"/>
    <x v="2"/>
    <x v="9"/>
    <n v="1984"/>
  </r>
  <r>
    <n v="85"/>
    <x v="1"/>
    <x v="1"/>
    <s v="Broc"/>
    <s v="Little"/>
    <x v="5"/>
    <x v="2"/>
    <d v="1988-03-24T00:00:00"/>
    <x v="73"/>
    <x v="0"/>
    <x v="6"/>
    <n v="1988"/>
  </r>
  <r>
    <n v="86"/>
    <x v="1"/>
    <x v="1"/>
    <s v="Brandon"/>
    <s v="Maxwell"/>
    <x v="6"/>
    <x v="3"/>
    <d v="1991-03-22T00:00:00"/>
    <x v="74"/>
    <x v="2"/>
    <x v="4"/>
    <n v="1991"/>
  </r>
  <r>
    <n v="87"/>
    <x v="1"/>
    <x v="1"/>
    <s v="John"/>
    <s v="McCarthy"/>
    <x v="12"/>
    <x v="0"/>
    <d v="1986-08-09T00:00:00"/>
    <x v="75"/>
    <x v="0"/>
    <x v="0"/>
    <n v="1986"/>
  </r>
  <r>
    <n v="88"/>
    <x v="1"/>
    <x v="1"/>
    <s v="Brian"/>
    <s v="O'Neill"/>
    <x v="15"/>
    <x v="14"/>
    <d v="1988-06-01T00:00:00"/>
    <x v="76"/>
    <x v="0"/>
    <x v="6"/>
    <n v="1988"/>
  </r>
  <r>
    <n v="89"/>
    <x v="1"/>
    <x v="1"/>
    <s v="Garrett"/>
    <s v="Roe"/>
    <x v="12"/>
    <x v="4"/>
    <d v="1988-02-22T00:00:00"/>
    <x v="77"/>
    <x v="0"/>
    <x v="15"/>
    <n v="1988"/>
  </r>
  <r>
    <n v="90"/>
    <x v="1"/>
    <x v="1"/>
    <s v="Bobby"/>
    <s v="Sanguinetti"/>
    <x v="3"/>
    <x v="20"/>
    <d v="1988-02-29T00:00:00"/>
    <x v="78"/>
    <x v="1"/>
    <x v="15"/>
    <n v="1988"/>
  </r>
  <r>
    <n v="91"/>
    <x v="1"/>
    <x v="1"/>
    <s v="Jim"/>
    <s v="Slater"/>
    <x v="10"/>
    <x v="0"/>
    <d v="1982-12-09T00:00:00"/>
    <x v="79"/>
    <x v="0"/>
    <x v="14"/>
    <n v="1982"/>
  </r>
  <r>
    <n v="92"/>
    <x v="1"/>
    <x v="1"/>
    <s v="Ryan"/>
    <s v="Stoa"/>
    <x v="14"/>
    <x v="13"/>
    <d v="1987-04-13T00:00:00"/>
    <x v="80"/>
    <x v="0"/>
    <x v="15"/>
    <n v="1987"/>
  </r>
  <r>
    <n v="93"/>
    <x v="1"/>
    <x v="1"/>
    <s v="Troy"/>
    <s v="Terry"/>
    <x v="0"/>
    <x v="8"/>
    <d v="1997-09-10T00:00:00"/>
    <x v="81"/>
    <x v="0"/>
    <x v="18"/>
    <n v="1997"/>
  </r>
  <r>
    <n v="94"/>
    <x v="1"/>
    <x v="1"/>
    <s v="Noah"/>
    <s v="Welch"/>
    <x v="0"/>
    <x v="4"/>
    <d v="1982-08-26T00:00:00"/>
    <x v="82"/>
    <x v="1"/>
    <x v="14"/>
    <n v="1982"/>
  </r>
  <r>
    <n v="95"/>
    <x v="1"/>
    <x v="1"/>
    <s v="James"/>
    <s v="Wisniewski"/>
    <x v="12"/>
    <x v="12"/>
    <d v="1984-02-21T00:00:00"/>
    <x v="70"/>
    <x v="1"/>
    <x v="11"/>
    <n v="1984"/>
  </r>
  <r>
    <n v="96"/>
    <x v="1"/>
    <x v="1"/>
    <s v="Ryan"/>
    <s v="Zapolski"/>
    <x v="0"/>
    <x v="13"/>
    <d v="1986-11-11T00:00:00"/>
    <x v="83"/>
    <x v="2"/>
    <x v="0"/>
    <n v="19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5509D-8A3E-4006-BBFB-CBABABFAE7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G19" firstHeaderRow="1" firstDataRow="2" firstDataCol="1"/>
  <pivotFields count="7">
    <pivotField showAll="0"/>
    <pivotField axis="axisRow" showAll="0">
      <items count="172">
        <item x="8"/>
        <item x="22"/>
        <item x="163"/>
        <item x="160"/>
        <item x="81"/>
        <item x="125"/>
        <item x="65"/>
        <item x="19"/>
        <item x="32"/>
        <item x="154"/>
        <item x="76"/>
        <item x="120"/>
        <item x="58"/>
        <item x="78"/>
        <item x="98"/>
        <item x="23"/>
        <item x="157"/>
        <item x="166"/>
        <item x="41"/>
        <item x="3"/>
        <item x="46"/>
        <item x="14"/>
        <item x="63"/>
        <item x="149"/>
        <item x="124"/>
        <item x="89"/>
        <item x="33"/>
        <item x="80"/>
        <item x="48"/>
        <item x="21"/>
        <item x="12"/>
        <item x="11"/>
        <item x="122"/>
        <item x="142"/>
        <item x="112"/>
        <item x="104"/>
        <item x="88"/>
        <item x="74"/>
        <item x="95"/>
        <item x="93"/>
        <item x="68"/>
        <item x="69"/>
        <item x="170"/>
        <item x="132"/>
        <item x="130"/>
        <item x="147"/>
        <item x="4"/>
        <item x="67"/>
        <item x="148"/>
        <item x="136"/>
        <item x="18"/>
        <item x="24"/>
        <item x="73"/>
        <item x="101"/>
        <item x="162"/>
        <item x="54"/>
        <item x="51"/>
        <item x="103"/>
        <item x="70"/>
        <item x="13"/>
        <item x="84"/>
        <item x="108"/>
        <item x="44"/>
        <item x="66"/>
        <item x="156"/>
        <item x="143"/>
        <item x="77"/>
        <item x="34"/>
        <item x="139"/>
        <item x="126"/>
        <item x="90"/>
        <item x="169"/>
        <item x="47"/>
        <item x="165"/>
        <item x="28"/>
        <item x="31"/>
        <item x="64"/>
        <item x="97"/>
        <item x="62"/>
        <item x="134"/>
        <item x="133"/>
        <item x="49"/>
        <item x="92"/>
        <item x="26"/>
        <item x="111"/>
        <item x="91"/>
        <item x="113"/>
        <item x="27"/>
        <item x="60"/>
        <item x="153"/>
        <item x="117"/>
        <item x="9"/>
        <item x="102"/>
        <item x="16"/>
        <item x="167"/>
        <item x="118"/>
        <item x="30"/>
        <item x="45"/>
        <item x="36"/>
        <item x="10"/>
        <item x="0"/>
        <item x="86"/>
        <item x="82"/>
        <item x="96"/>
        <item x="138"/>
        <item x="6"/>
        <item x="61"/>
        <item x="100"/>
        <item x="99"/>
        <item x="43"/>
        <item x="42"/>
        <item x="40"/>
        <item x="105"/>
        <item x="107"/>
        <item x="123"/>
        <item x="25"/>
        <item x="57"/>
        <item x="140"/>
        <item x="119"/>
        <item x="75"/>
        <item x="37"/>
        <item x="128"/>
        <item x="137"/>
        <item x="20"/>
        <item x="114"/>
        <item x="17"/>
        <item x="83"/>
        <item x="1"/>
        <item x="79"/>
        <item x="145"/>
        <item x="144"/>
        <item x="161"/>
        <item x="127"/>
        <item x="164"/>
        <item x="39"/>
        <item x="72"/>
        <item x="155"/>
        <item x="159"/>
        <item x="29"/>
        <item x="2"/>
        <item x="38"/>
        <item x="56"/>
        <item x="146"/>
        <item x="110"/>
        <item x="141"/>
        <item x="35"/>
        <item x="116"/>
        <item x="87"/>
        <item x="152"/>
        <item x="151"/>
        <item x="59"/>
        <item x="109"/>
        <item x="131"/>
        <item x="7"/>
        <item x="129"/>
        <item x="106"/>
        <item x="52"/>
        <item x="53"/>
        <item x="50"/>
        <item x="85"/>
        <item x="15"/>
        <item x="5"/>
        <item x="135"/>
        <item x="168"/>
        <item x="115"/>
        <item x="121"/>
        <item x="158"/>
        <item x="150"/>
        <item x="55"/>
        <item x="94"/>
        <item x="71"/>
        <item t="default"/>
      </items>
    </pivotField>
    <pivotField showAll="0">
      <items count="145">
        <item x="88"/>
        <item x="111"/>
        <item x="78"/>
        <item x="62"/>
        <item x="117"/>
        <item x="26"/>
        <item x="22"/>
        <item x="81"/>
        <item x="44"/>
        <item x="74"/>
        <item x="131"/>
        <item x="64"/>
        <item x="76"/>
        <item x="16"/>
        <item x="14"/>
        <item x="5"/>
        <item x="30"/>
        <item x="136"/>
        <item x="97"/>
        <item x="112"/>
        <item x="108"/>
        <item x="109"/>
        <item x="13"/>
        <item x="25"/>
        <item x="119"/>
        <item x="116"/>
        <item x="71"/>
        <item x="143"/>
        <item x="86"/>
        <item x="24"/>
        <item x="96"/>
        <item x="6"/>
        <item x="56"/>
        <item x="65"/>
        <item x="133"/>
        <item x="118"/>
        <item x="8"/>
        <item x="105"/>
        <item x="101"/>
        <item x="55"/>
        <item x="27"/>
        <item x="126"/>
        <item x="36"/>
        <item x="39"/>
        <item x="57"/>
        <item x="102"/>
        <item x="129"/>
        <item x="106"/>
        <item x="11"/>
        <item x="35"/>
        <item x="37"/>
        <item x="84"/>
        <item x="59"/>
        <item x="54"/>
        <item x="142"/>
        <item x="12"/>
        <item x="21"/>
        <item x="0"/>
        <item x="18"/>
        <item x="31"/>
        <item x="138"/>
        <item x="75"/>
        <item x="103"/>
        <item x="28"/>
        <item x="23"/>
        <item x="104"/>
        <item x="58"/>
        <item x="7"/>
        <item x="91"/>
        <item x="85"/>
        <item x="93"/>
        <item x="41"/>
        <item x="80"/>
        <item x="83"/>
        <item x="128"/>
        <item x="141"/>
        <item x="110"/>
        <item x="46"/>
        <item x="51"/>
        <item x="114"/>
        <item x="90"/>
        <item x="67"/>
        <item x="107"/>
        <item x="66"/>
        <item x="48"/>
        <item x="130"/>
        <item x="68"/>
        <item x="52"/>
        <item x="70"/>
        <item x="19"/>
        <item x="94"/>
        <item x="79"/>
        <item x="63"/>
        <item x="127"/>
        <item x="61"/>
        <item x="40"/>
        <item x="100"/>
        <item x="89"/>
        <item x="122"/>
        <item x="43"/>
        <item x="77"/>
        <item x="115"/>
        <item x="125"/>
        <item x="17"/>
        <item x="10"/>
        <item x="2"/>
        <item x="38"/>
        <item x="49"/>
        <item x="98"/>
        <item x="137"/>
        <item x="4"/>
        <item x="121"/>
        <item x="134"/>
        <item x="139"/>
        <item x="45"/>
        <item x="135"/>
        <item x="99"/>
        <item x="132"/>
        <item x="72"/>
        <item x="50"/>
        <item x="42"/>
        <item x="73"/>
        <item x="9"/>
        <item x="29"/>
        <item x="140"/>
        <item x="60"/>
        <item x="95"/>
        <item x="124"/>
        <item x="1"/>
        <item x="53"/>
        <item x="3"/>
        <item x="15"/>
        <item x="113"/>
        <item x="120"/>
        <item x="20"/>
        <item x="34"/>
        <item x="82"/>
        <item x="69"/>
        <item x="87"/>
        <item x="123"/>
        <item x="32"/>
        <item x="33"/>
        <item x="92"/>
        <item x="47"/>
        <item t="default"/>
      </items>
    </pivotField>
    <pivotField axis="axisRow" showAll="0">
      <items count="10">
        <item sd="0" x="4"/>
        <item x="3"/>
        <item sd="0" x="2"/>
        <item sd="0" x="7"/>
        <item sd="0" x="0"/>
        <item sd="0" x="5"/>
        <item sd="0" x="6"/>
        <item sd="0" x="1"/>
        <item sd="0" x="8"/>
        <item t="default"/>
      </items>
    </pivotField>
    <pivotField axis="axisCol" showAll="0">
      <items count="32">
        <item x="0"/>
        <item x="6"/>
        <item x="7"/>
        <item x="18"/>
        <item x="19"/>
        <item x="16"/>
        <item x="3"/>
        <item x="4"/>
        <item x="5"/>
        <item x="8"/>
        <item x="9"/>
        <item x="10"/>
        <item x="11"/>
        <item x="12"/>
        <item x="13"/>
        <item x="14"/>
        <item x="15"/>
        <item x="17"/>
        <item x="20"/>
        <item x="2"/>
        <item x="30"/>
        <item x="29"/>
        <item x="28"/>
        <item x="27"/>
        <item x="26"/>
        <item x="25"/>
        <item x="24"/>
        <item x="23"/>
        <item x="22"/>
        <item x="21"/>
        <item x="1"/>
        <item t="default"/>
      </items>
    </pivotField>
    <pivotField dataField="1" numFmtId="1" showAll="0">
      <items count="82">
        <item x="79"/>
        <item x="64"/>
        <item x="67"/>
        <item x="66"/>
        <item x="58"/>
        <item x="50"/>
        <item x="28"/>
        <item x="77"/>
        <item x="45"/>
        <item x="35"/>
        <item x="34"/>
        <item x="36"/>
        <item x="7"/>
        <item x="37"/>
        <item x="59"/>
        <item x="41"/>
        <item x="46"/>
        <item x="60"/>
        <item x="26"/>
        <item x="8"/>
        <item x="2"/>
        <item x="39"/>
        <item x="49"/>
        <item x="10"/>
        <item x="11"/>
        <item x="27"/>
        <item x="33"/>
        <item x="69"/>
        <item x="15"/>
        <item x="80"/>
        <item x="47"/>
        <item x="42"/>
        <item x="56"/>
        <item x="52"/>
        <item x="61"/>
        <item x="53"/>
        <item x="57"/>
        <item x="54"/>
        <item x="65"/>
        <item x="20"/>
        <item x="71"/>
        <item x="14"/>
        <item x="48"/>
        <item x="72"/>
        <item x="30"/>
        <item x="18"/>
        <item x="51"/>
        <item x="23"/>
        <item x="62"/>
        <item x="16"/>
        <item x="1"/>
        <item x="19"/>
        <item x="22"/>
        <item x="29"/>
        <item x="6"/>
        <item x="21"/>
        <item x="3"/>
        <item x="75"/>
        <item x="5"/>
        <item x="24"/>
        <item x="12"/>
        <item x="13"/>
        <item x="55"/>
        <item x="68"/>
        <item x="17"/>
        <item x="44"/>
        <item x="4"/>
        <item x="70"/>
        <item x="73"/>
        <item x="9"/>
        <item x="74"/>
        <item x="38"/>
        <item x="43"/>
        <item x="0"/>
        <item x="63"/>
        <item x="76"/>
        <item x="40"/>
        <item x="25"/>
        <item x="31"/>
        <item x="78"/>
        <item x="32"/>
        <item t="default"/>
      </items>
    </pivotField>
    <pivotField showAll="0"/>
  </pivotFields>
  <rowFields count="2">
    <field x="3"/>
    <field x="1"/>
  </rowFields>
  <rowItems count="15">
    <i>
      <x/>
    </i>
    <i>
      <x v="1"/>
    </i>
    <i r="1">
      <x v="31"/>
    </i>
    <i r="1">
      <x v="46"/>
    </i>
    <i r="1">
      <x v="105"/>
    </i>
    <i r="1">
      <x v="160"/>
    </i>
    <i r="1">
      <x v="16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dataFields count="1">
    <dataField name="Sum of Зарплата" fld="5" baseField="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D534A-1370-43AC-9551-329C0CC30201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1:O37" firstHeaderRow="1" firstDataRow="3" firstDataCol="1"/>
  <pivotFields count="12">
    <pivotField showAll="0"/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2">
    <field x="2"/>
    <field x="1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Позиция" fld="9" subtotal="count" baseField="0" baseItem="0"/>
  </dataFields>
  <formats count="4">
    <format dxfId="4">
      <pivotArea dataOnly="0" outline="0" fieldPosition="0">
        <references count="1">
          <reference field="2" count="1">
            <x v="0"/>
          </reference>
        </references>
      </pivotArea>
    </format>
    <format dxfId="3">
      <pivotArea outline="0" collapsedLevelsAreSubtotals="1" fieldPosition="0">
        <references count="2">
          <reference field="1" count="0" selected="0"/>
          <reference field="2" count="1" selected="0">
            <x v="1"/>
          </reference>
        </references>
      </pivotArea>
    </format>
    <format dxfId="2">
      <pivotArea dataOnly="0" labelOnly="1" fieldPosition="0">
        <references count="1">
          <reference field="2" count="1">
            <x v="1"/>
          </reference>
        </references>
      </pivotArea>
    </format>
    <format dxfId="1">
      <pivotArea dataOnly="0" labelOnly="1" fieldPosition="0">
        <references count="2">
          <reference field="1" count="0"/>
          <reference field="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F1A7A-BDA5-4C66-8FA9-43A98DAD0A3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0:T25" firstHeaderRow="1" firstDataRow="3" firstDataCol="1"/>
  <pivotFields count="12">
    <pivotField dataField="1" showAll="0"/>
    <pivotField axis="axisCol" showAll="0" sortType="descending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dataField="1" showAll="0"/>
    <pivotField numFmtId="14"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Count of ID" fld="0" subtotal="count" baseField="1" baseItem="0"/>
    <dataField name="Average of Возраст" fld="10" subtotal="average" baseField="2" baseItem="0"/>
    <dataField name="Average of Рост" fld="6" subtotal="average" baseField="2" baseItem="0"/>
    <dataField name="Average of Вес" fld="5" subtotal="average" baseField="2" baseItem="0"/>
  </dataFields>
  <formats count="46">
    <format dxfId="50">
      <pivotArea dataOnly="0" outline="0" fieldPosition="0">
        <references count="1">
          <reference field="1" count="1">
            <x v="0"/>
          </reference>
        </references>
      </pivotArea>
    </format>
    <format dxfId="49">
      <pivotArea dataOnly="0" labelOnly="1" offset="A256" fieldPosition="0">
        <references count="1">
          <reference field="1" count="1">
            <x v="0"/>
          </reference>
        </references>
      </pivotArea>
    </format>
    <format dxfId="48">
      <pivotArea dataOnly="0" labelOnly="1" offset="A256" fieldPosition="0">
        <references count="1">
          <reference field="1" count="1">
            <x v="1"/>
          </reference>
        </references>
      </pivotArea>
    </format>
    <format dxfId="47">
      <pivotArea outline="0"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1" count="1" selected="0">
            <x v="1"/>
          </reference>
        </references>
      </pivotArea>
    </format>
    <format dxfId="46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43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" count="1">
            <x v="0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" count="1">
            <x v="1"/>
          </reference>
        </references>
      </pivotArea>
    </format>
    <format dxfId="41">
      <pivotArea field="1" grandRow="1" outline="0" collapsedLevelsAreSubtotals="1" axis="axisCol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40">
      <pivotArea field="1" grandRow="1" outline="0" collapsedLevelsAreSubtotals="1" axis="axisCol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38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37">
      <pivotArea field="1" grandRow="1" outline="0" collapsedLevelsAreSubtotals="1" axis="axisCol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35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34">
      <pivotArea field="1" grandRow="1" outline="0" collapsedLevelsAreSubtotals="1" axis="axisCol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format>
    <format dxfId="33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" count="1">
            <x v="0"/>
          </reference>
        </references>
      </pivotArea>
    </format>
    <format dxfId="32">
      <pivotArea field="1" grandRow="1" outline="0" collapsedLevelsAreSubtotals="1" axis="axisCol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1"/>
          </reference>
          <reference field="2" count="1">
            <x v="1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1"/>
          </reference>
          <reference field="2" count="1">
            <x v="0"/>
          </reference>
        </references>
      </pivotArea>
    </format>
    <format dxfId="29">
      <pivotArea field="2" grandCol="1" collapsedLevelsAreSubtotals="1" axis="axisRow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28">
      <pivotArea field="2" grandCol="1" collapsedLevelsAreSubtotals="1" axis="axisRow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27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1" type="button" dataOnly="0" labelOnly="1" outline="0" axis="axisCol" fieldPosition="0"/>
    </format>
    <format dxfId="22">
      <pivotArea field="-2" type="button" dataOnly="0" labelOnly="1" outline="0" axis="axisCol" fieldPosition="1"/>
    </format>
    <format dxfId="21">
      <pivotArea type="topRight" dataOnly="0" labelOnly="1" outline="0" fieldPosition="0"/>
    </format>
    <format dxfId="20">
      <pivotArea field="2" type="button" dataOnly="0" labelOnly="1" outline="0" axis="axisRow" fieldPosition="0"/>
    </format>
    <format dxfId="19">
      <pivotArea dataOnly="0" labelOnly="1" fieldPosition="0">
        <references count="1">
          <reference field="2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3">
      <pivotArea field="1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2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0"/>
          </reference>
        </references>
      </pivotArea>
    </format>
    <format dxfId="11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" count="1" selected="0">
            <x v="1"/>
          </reference>
        </references>
      </pivotArea>
    </format>
    <format dxfId="10">
      <pivotArea field="2" grandCol="1" collapsedLevelsAreSubtotals="1" axis="axisRow" fieldPosition="0">
        <references count="2">
          <reference field="4294967294" count="1" selected="0">
            <x v="2"/>
          </reference>
          <reference field="2" count="1">
            <x v="0"/>
          </reference>
        </references>
      </pivotArea>
    </format>
    <format dxfId="9">
      <pivotArea field="2" grandCol="1" collapsedLevelsAreSubtotals="1" axis="axisRow" fieldPosition="0">
        <references count="2">
          <reference field="4294967294" count="1" selected="0">
            <x v="2"/>
          </reference>
          <reference field="2" count="1">
            <x v="1"/>
          </reference>
        </references>
      </pivotArea>
    </format>
    <format dxfId="8">
      <pivotArea grandRow="1" grandCol="1"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field="2" grandCol="1" collapsedLevelsAreSubtotals="1" axis="axisRow" fieldPosition="0">
        <references count="2">
          <reference field="4294967294" count="1" selected="0">
            <x v="3"/>
          </reference>
          <reference field="2" count="1">
            <x v="0"/>
          </reference>
        </references>
      </pivotArea>
    </format>
    <format dxfId="6">
      <pivotArea field="2" grandCol="1" collapsedLevelsAreSubtotals="1" axis="axisRow" fieldPosition="0">
        <references count="2">
          <reference field="4294967294" count="1" selected="0">
            <x v="3"/>
          </reference>
          <reference field="2" count="1">
            <x v="1"/>
          </reference>
        </references>
      </pivotArea>
    </format>
    <format dxfId="5">
      <pivotArea grandRow="1" grandCol="1"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5B38E-AA99-4FFA-BC94-36B569FEC4E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0:E30" firstHeaderRow="1" firstDataRow="2" firstDataCol="1" rowPageCount="1" colPageCount="1"/>
  <pivotFields count="12">
    <pivotField dataField="1" showAll="0"/>
    <pivotField axis="axisCol" showAll="0" sortType="descending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Page" multipleItemSelectionAllowed="1" showAll="0">
      <items count="22">
        <item x="8"/>
        <item x="0"/>
        <item x="18"/>
        <item x="17"/>
        <item x="1"/>
        <item x="12"/>
        <item x="13"/>
        <item x="6"/>
        <item x="11"/>
        <item x="7"/>
        <item x="5"/>
        <item x="16"/>
        <item x="4"/>
        <item x="15"/>
        <item x="19"/>
        <item x="9"/>
        <item x="2"/>
        <item x="10"/>
        <item x="14"/>
        <item x="20"/>
        <item x="3"/>
        <item t="default"/>
      </items>
    </pivotField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2">
    <field x="2"/>
    <field x="9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unt of ID" fld="0" subtotal="count" baseField="2" baseItem="0"/>
  </dataFields>
  <formats count="1">
    <format dxfId="5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DC7E2-640B-4766-8794-F20B1EE9273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0:AO34" firstHeaderRow="1" firstDataRow="2" firstDataCol="1"/>
  <pivotFields count="12">
    <pivotField dataField="1"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17">
        <item x="8"/>
        <item x="5"/>
        <item x="14"/>
        <item x="11"/>
        <item x="1"/>
        <item x="12"/>
        <item x="10"/>
        <item x="9"/>
        <item x="2"/>
        <item x="7"/>
        <item x="3"/>
        <item x="13"/>
        <item x="4"/>
        <item x="6"/>
        <item x="0"/>
        <item x="15"/>
        <item t="default"/>
      </items>
    </pivotField>
    <pivotField showAll="0">
      <items count="22">
        <item x="8"/>
        <item x="0"/>
        <item x="18"/>
        <item x="17"/>
        <item x="1"/>
        <item x="12"/>
        <item x="13"/>
        <item x="6"/>
        <item x="11"/>
        <item x="7"/>
        <item x="5"/>
        <item x="16"/>
        <item x="4"/>
        <item x="15"/>
        <item x="19"/>
        <item x="9"/>
        <item x="2"/>
        <item x="10"/>
        <item x="14"/>
        <item x="20"/>
        <item x="3"/>
        <item t="default"/>
      </items>
    </pivotField>
    <pivotField numFmtId="14" showAll="0"/>
    <pivotField showAll="0">
      <items count="85">
        <item x="72"/>
        <item x="58"/>
        <item x="16"/>
        <item x="12"/>
        <item x="68"/>
        <item x="71"/>
        <item x="80"/>
        <item x="40"/>
        <item x="75"/>
        <item x="82"/>
        <item x="32"/>
        <item x="56"/>
        <item x="18"/>
        <item x="26"/>
        <item x="34"/>
        <item x="70"/>
        <item x="30"/>
        <item x="47"/>
        <item x="57"/>
        <item x="46"/>
        <item x="41"/>
        <item x="19"/>
        <item x="83"/>
        <item x="49"/>
        <item x="52"/>
        <item x="4"/>
        <item x="8"/>
        <item x="81"/>
        <item x="20"/>
        <item x="2"/>
        <item x="37"/>
        <item x="21"/>
        <item x="28"/>
        <item x="63"/>
        <item x="48"/>
        <item x="79"/>
        <item x="25"/>
        <item x="35"/>
        <item x="50"/>
        <item x="15"/>
        <item x="66"/>
        <item x="62"/>
        <item x="61"/>
        <item x="54"/>
        <item x="55"/>
        <item x="38"/>
        <item x="64"/>
        <item x="36"/>
        <item x="65"/>
        <item x="27"/>
        <item x="7"/>
        <item x="31"/>
        <item x="45"/>
        <item x="3"/>
        <item x="44"/>
        <item x="73"/>
        <item x="69"/>
        <item x="24"/>
        <item x="59"/>
        <item x="60"/>
        <item x="0"/>
        <item x="11"/>
        <item x="10"/>
        <item x="67"/>
        <item x="39"/>
        <item x="17"/>
        <item x="6"/>
        <item x="14"/>
        <item x="13"/>
        <item x="1"/>
        <item x="51"/>
        <item x="9"/>
        <item x="23"/>
        <item x="43"/>
        <item x="5"/>
        <item x="22"/>
        <item x="29"/>
        <item x="77"/>
        <item x="33"/>
        <item x="53"/>
        <item x="42"/>
        <item x="78"/>
        <item x="74"/>
        <item x="76"/>
        <item t="default"/>
      </items>
    </pivotField>
    <pivotField showAll="0"/>
    <pivotField axis="axisCol" showAll="0">
      <items count="21">
        <item x="16"/>
        <item x="18"/>
        <item x="17"/>
        <item x="7"/>
        <item x="2"/>
        <item x="8"/>
        <item x="3"/>
        <item x="4"/>
        <item x="5"/>
        <item x="1"/>
        <item x="6"/>
        <item x="15"/>
        <item x="0"/>
        <item x="10"/>
        <item x="9"/>
        <item x="11"/>
        <item x="14"/>
        <item x="13"/>
        <item x="12"/>
        <item x="19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0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Count of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1D5BB-8275-4089-BFD0-86999B405D3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T4:U8" firstHeaderRow="1" firstDataRow="1" firstDataCol="1"/>
  <pivotFields count="12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1" baseItem="0"/>
  </dataField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4992B-7F4D-459C-8424-9168172842D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4:C14" firstHeaderRow="1" firstDataRow="1" firstDataCol="1"/>
  <pivotFields count="7">
    <pivotField dataField="1" showAll="0"/>
    <pivotField showAll="0"/>
    <pivotField showAll="0"/>
    <pivotField axis="axisRow" showAll="0">
      <items count="10">
        <item x="4"/>
        <item x="3"/>
        <item x="2"/>
        <item x="7"/>
        <item x="0"/>
        <item x="5"/>
        <item x="6"/>
        <item x="1"/>
        <item x="8"/>
        <item t="default"/>
      </items>
    </pivotField>
    <pivotField showAll="0"/>
    <pivotField numFmtId="1"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ID" fld="0" subtotal="count" baseField="3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953BAA-5C65-4CB2-A030-16A65C2695CB}" name="Table3" displayName="Table3" ref="A1:L97" totalsRowShown="0">
  <sortState xmlns:xlrd2="http://schemas.microsoft.com/office/spreadsheetml/2017/richdata2" ref="A2:K97">
    <sortCondition ref="A2"/>
  </sortState>
  <tableColumns count="12">
    <tableColumn id="1" xr3:uid="{3CE7CE51-792F-45A5-B5D0-2D9B3DC68161}" name="ID"/>
    <tableColumn id="2" xr3:uid="{0D815FA0-3BEE-4717-BFB4-C38E7ABB07F7}" name="Команда"/>
    <tableColumn id="3" xr3:uid="{82A85447-90E1-4D1C-A31A-D3F7A13E74FC}" name="Страна"/>
    <tableColumn id="4" xr3:uid="{F392E9E4-D316-4D2A-BCE0-8BCD9CE3321E}" name="Имя"/>
    <tableColumn id="5" xr3:uid="{0E645FDC-038D-475F-AF8A-57569CCFCAAC}" name="Фамилия"/>
    <tableColumn id="7" xr3:uid="{679FABE5-6B00-4BE2-904C-589D04A65BBC}" name="Вес"/>
    <tableColumn id="6" xr3:uid="{2ABCFEC8-B943-463F-B79C-30D97542B0BF}" name="Рост" dataDxfId="57"/>
    <tableColumn id="8" xr3:uid="{7E7F3F13-5CBA-44A8-A534-EBBCFC873930}" name="День Рождения" dataDxfId="56"/>
    <tableColumn id="9" xr3:uid="{EFA0A445-892B-4298-A374-0FC0DD3A0A71}" name="Город" dataDxfId="55"/>
    <tableColumn id="11" xr3:uid="{3851A74F-8FC7-4FD7-BA80-AFE3AFE19F9E}" name="Позиция" dataDxfId="54"/>
    <tableColumn id="17" xr3:uid="{CC385050-5132-4F4A-BC9E-EE201A7F7CD0}" name="Возраст" dataDxfId="53">
      <calculatedColumnFormula>DATEDIF(Table3[[#This Row],[День Рождения]],TODAY(),"y")</calculatedColumnFormula>
    </tableColumn>
    <tableColumn id="10" xr3:uid="{32C31B5E-B280-4D32-BAE4-48A099CDF550}" name="Столбец1" dataDxfId="5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A2EE-4F9D-4AD8-B94B-1438E48F9BF7}">
  <dimension ref="A3:K235"/>
  <sheetViews>
    <sheetView topLeftCell="A2" zoomScale="97" zoomScaleNormal="100" workbookViewId="0">
      <selection activeCell="A3" sqref="A3"/>
    </sheetView>
  </sheetViews>
  <sheetFormatPr defaultRowHeight="14.4" x14ac:dyDescent="0.3"/>
  <cols>
    <col min="1" max="1" width="6.5546875" bestFit="1" customWidth="1"/>
    <col min="2" max="2" width="16.33203125" bestFit="1" customWidth="1"/>
    <col min="3" max="3" width="11.21875" bestFit="1" customWidth="1"/>
    <col min="4" max="4" width="17.44140625" bestFit="1" customWidth="1"/>
    <col min="5" max="5" width="12.109375" bestFit="1" customWidth="1"/>
    <col min="6" max="6" width="9.44140625" style="1" bestFit="1" customWidth="1"/>
    <col min="7" max="7" width="8.44140625" style="1" bestFit="1" customWidth="1"/>
    <col min="9" max="9" width="13.21875" bestFit="1" customWidth="1"/>
    <col min="14" max="14" width="23.44140625" bestFit="1" customWidth="1"/>
    <col min="15" max="15" width="20.109375" bestFit="1" customWidth="1"/>
    <col min="16" max="16" width="6.77734375" bestFit="1" customWidth="1"/>
    <col min="17" max="17" width="7.77734375" bestFit="1" customWidth="1"/>
    <col min="18" max="45" width="6.77734375" bestFit="1" customWidth="1"/>
    <col min="46" max="46" width="11.21875" bestFit="1" customWidth="1"/>
    <col min="47" max="49" width="5.77734375" bestFit="1" customWidth="1"/>
    <col min="50" max="50" width="6.77734375" bestFit="1" customWidth="1"/>
    <col min="51" max="51" width="7.88671875" bestFit="1" customWidth="1"/>
    <col min="52" max="52" width="6.77734375" bestFit="1" customWidth="1"/>
    <col min="53" max="53" width="5.77734375" bestFit="1" customWidth="1"/>
    <col min="54" max="55" width="6.77734375" bestFit="1" customWidth="1"/>
    <col min="56" max="56" width="5.77734375" bestFit="1" customWidth="1"/>
    <col min="57" max="57" width="7.33203125" bestFit="1" customWidth="1"/>
    <col min="58" max="58" width="7.88671875" bestFit="1" customWidth="1"/>
    <col min="59" max="59" width="15" bestFit="1" customWidth="1"/>
    <col min="60" max="60" width="16.21875" bestFit="1" customWidth="1"/>
    <col min="61" max="61" width="8.21875" bestFit="1" customWidth="1"/>
    <col min="62" max="62" width="6.77734375" bestFit="1" customWidth="1"/>
    <col min="63" max="63" width="6.109375" bestFit="1" customWidth="1"/>
    <col min="64" max="64" width="7.77734375" bestFit="1" customWidth="1"/>
    <col min="65" max="65" width="8.21875" bestFit="1" customWidth="1"/>
    <col min="66" max="66" width="6.109375" bestFit="1" customWidth="1"/>
    <col min="67" max="67" width="7.6640625" bestFit="1" customWidth="1"/>
    <col min="68" max="68" width="5.77734375" bestFit="1" customWidth="1"/>
    <col min="69" max="69" width="5.88671875" bestFit="1" customWidth="1"/>
    <col min="70" max="70" width="7.21875" bestFit="1" customWidth="1"/>
    <col min="71" max="71" width="6.33203125" bestFit="1" customWidth="1"/>
    <col min="72" max="74" width="5.77734375" bestFit="1" customWidth="1"/>
    <col min="75" max="75" width="8.21875" bestFit="1" customWidth="1"/>
    <col min="76" max="76" width="7.88671875" bestFit="1" customWidth="1"/>
    <col min="77" max="77" width="8.5546875" bestFit="1" customWidth="1"/>
    <col min="78" max="78" width="5.77734375" bestFit="1" customWidth="1"/>
    <col min="79" max="79" width="9.88671875" bestFit="1" customWidth="1"/>
    <col min="80" max="80" width="6.77734375" bestFit="1" customWidth="1"/>
    <col min="81" max="81" width="5.88671875" bestFit="1" customWidth="1"/>
    <col min="82" max="82" width="8.77734375" bestFit="1" customWidth="1"/>
    <col min="83" max="83" width="8.21875" bestFit="1" customWidth="1"/>
    <col min="84" max="84" width="8.33203125" bestFit="1" customWidth="1"/>
    <col min="85" max="85" width="11.88671875" bestFit="1" customWidth="1"/>
    <col min="86" max="86" width="11.33203125" bestFit="1" customWidth="1"/>
    <col min="87" max="87" width="10.88671875" bestFit="1" customWidth="1"/>
    <col min="88" max="88" width="8.44140625" bestFit="1" customWidth="1"/>
    <col min="89" max="89" width="6.21875" bestFit="1" customWidth="1"/>
    <col min="90" max="90" width="10.21875" bestFit="1" customWidth="1"/>
    <col min="91" max="91" width="9.77734375" bestFit="1" customWidth="1"/>
    <col min="92" max="92" width="7.21875" bestFit="1" customWidth="1"/>
    <col min="93" max="93" width="5.77734375" bestFit="1" customWidth="1"/>
    <col min="94" max="94" width="9.5546875" bestFit="1" customWidth="1"/>
    <col min="95" max="95" width="10" bestFit="1" customWidth="1"/>
    <col min="96" max="96" width="5.77734375" bestFit="1" customWidth="1"/>
    <col min="97" max="97" width="10.21875" bestFit="1" customWidth="1"/>
    <col min="98" max="98" width="8.109375" bestFit="1" customWidth="1"/>
    <col min="99" max="99" width="8.5546875" bestFit="1" customWidth="1"/>
    <col min="100" max="100" width="8.109375" bestFit="1" customWidth="1"/>
    <col min="101" max="101" width="7.88671875" bestFit="1" customWidth="1"/>
    <col min="102" max="102" width="8.21875" bestFit="1" customWidth="1"/>
    <col min="103" max="103" width="6.77734375" bestFit="1" customWidth="1"/>
    <col min="104" max="104" width="12.88671875" bestFit="1" customWidth="1"/>
    <col min="105" max="105" width="9.77734375" bestFit="1" customWidth="1"/>
    <col min="106" max="106" width="8.21875" bestFit="1" customWidth="1"/>
    <col min="107" max="107" width="5.77734375" bestFit="1" customWidth="1"/>
    <col min="108" max="108" width="6.6640625" bestFit="1" customWidth="1"/>
    <col min="109" max="109" width="6.21875" bestFit="1" customWidth="1"/>
    <col min="110" max="110" width="5.77734375" bestFit="1" customWidth="1"/>
    <col min="111" max="111" width="6.77734375" bestFit="1" customWidth="1"/>
    <col min="112" max="112" width="10.6640625" bestFit="1" customWidth="1"/>
    <col min="113" max="113" width="8.21875" bestFit="1" customWidth="1"/>
    <col min="114" max="114" width="9.109375" bestFit="1" customWidth="1"/>
    <col min="115" max="115" width="6.33203125" bestFit="1" customWidth="1"/>
    <col min="116" max="116" width="6.5546875" bestFit="1" customWidth="1"/>
    <col min="117" max="117" width="7.5546875" bestFit="1" customWidth="1"/>
    <col min="118" max="118" width="7.33203125" bestFit="1" customWidth="1"/>
    <col min="119" max="119" width="7.5546875" bestFit="1" customWidth="1"/>
    <col min="120" max="120" width="8.5546875" bestFit="1" customWidth="1"/>
    <col min="121" max="121" width="6.5546875" bestFit="1" customWidth="1"/>
    <col min="122" max="122" width="8.109375" bestFit="1" customWidth="1"/>
    <col min="123" max="124" width="8.21875" bestFit="1" customWidth="1"/>
    <col min="125" max="125" width="5.77734375" bestFit="1" customWidth="1"/>
    <col min="126" max="126" width="8.21875" bestFit="1" customWidth="1"/>
    <col min="127" max="127" width="8.109375" bestFit="1" customWidth="1"/>
    <col min="128" max="128" width="9.33203125" bestFit="1" customWidth="1"/>
    <col min="129" max="129" width="6.5546875" bestFit="1" customWidth="1"/>
    <col min="130" max="130" width="8.44140625" bestFit="1" customWidth="1"/>
    <col min="131" max="131" width="7.21875" bestFit="1" customWidth="1"/>
    <col min="132" max="132" width="8.21875" bestFit="1" customWidth="1"/>
    <col min="133" max="133" width="7.109375" bestFit="1" customWidth="1"/>
    <col min="134" max="134" width="10.77734375" bestFit="1" customWidth="1"/>
    <col min="135" max="135" width="7.109375" bestFit="1" customWidth="1"/>
    <col min="136" max="136" width="7.5546875" bestFit="1" customWidth="1"/>
    <col min="137" max="137" width="8.21875" bestFit="1" customWidth="1"/>
    <col min="138" max="138" width="9.109375" bestFit="1" customWidth="1"/>
    <col min="139" max="139" width="9.33203125" bestFit="1" customWidth="1"/>
    <col min="140" max="140" width="10.77734375" bestFit="1" customWidth="1"/>
    <col min="141" max="141" width="10.109375" bestFit="1" customWidth="1"/>
    <col min="142" max="142" width="6.33203125" bestFit="1" customWidth="1"/>
    <col min="143" max="143" width="7.33203125" bestFit="1" customWidth="1"/>
    <col min="144" max="144" width="8.109375" bestFit="1" customWidth="1"/>
    <col min="145" max="145" width="16" bestFit="1" customWidth="1"/>
    <col min="146" max="146" width="8.21875" bestFit="1" customWidth="1"/>
    <col min="147" max="147" width="5.77734375" bestFit="1" customWidth="1"/>
    <col min="148" max="148" width="8.33203125" bestFit="1" customWidth="1"/>
    <col min="149" max="149" width="8.21875" bestFit="1" customWidth="1"/>
    <col min="150" max="150" width="5.77734375" bestFit="1" customWidth="1"/>
    <col min="151" max="151" width="6.5546875" bestFit="1" customWidth="1"/>
    <col min="152" max="152" width="6.77734375" bestFit="1" customWidth="1"/>
    <col min="153" max="153" width="8.21875" bestFit="1" customWidth="1"/>
    <col min="154" max="154" width="5.77734375" bestFit="1" customWidth="1"/>
    <col min="155" max="156" width="6.6640625" bestFit="1" customWidth="1"/>
    <col min="157" max="157" width="7.5546875" bestFit="1" customWidth="1"/>
    <col min="158" max="158" width="7.44140625" bestFit="1" customWidth="1"/>
    <col min="159" max="159" width="5.77734375" bestFit="1" customWidth="1"/>
    <col min="160" max="160" width="8.21875" bestFit="1" customWidth="1"/>
    <col min="161" max="161" width="6.6640625" bestFit="1" customWidth="1"/>
    <col min="162" max="162" width="10" bestFit="1" customWidth="1"/>
    <col min="163" max="163" width="8.21875" bestFit="1" customWidth="1"/>
    <col min="164" max="164" width="8.33203125" bestFit="1" customWidth="1"/>
    <col min="165" max="165" width="8.44140625" bestFit="1" customWidth="1"/>
    <col min="166" max="166" width="8.21875" bestFit="1" customWidth="1"/>
    <col min="167" max="167" width="8.77734375" bestFit="1" customWidth="1"/>
    <col min="168" max="168" width="7.77734375" bestFit="1" customWidth="1"/>
    <col min="169" max="169" width="5.77734375" bestFit="1" customWidth="1"/>
    <col min="170" max="170" width="6.77734375" bestFit="1" customWidth="1"/>
    <col min="171" max="172" width="8.21875" bestFit="1" customWidth="1"/>
    <col min="173" max="173" width="7.77734375" bestFit="1" customWidth="1"/>
    <col min="174" max="174" width="8.77734375" bestFit="1" customWidth="1"/>
    <col min="175" max="176" width="8.21875" bestFit="1" customWidth="1"/>
    <col min="177" max="177" width="6.109375" bestFit="1" customWidth="1"/>
    <col min="178" max="178" width="8" bestFit="1" customWidth="1"/>
    <col min="179" max="179" width="8.77734375" bestFit="1" customWidth="1"/>
    <col min="180" max="180" width="8.21875" bestFit="1" customWidth="1"/>
    <col min="181" max="182" width="6.77734375" bestFit="1" customWidth="1"/>
    <col min="183" max="183" width="8.33203125" bestFit="1" customWidth="1"/>
    <col min="184" max="184" width="8.21875" bestFit="1" customWidth="1"/>
    <col min="185" max="185" width="6.77734375" bestFit="1" customWidth="1"/>
    <col min="186" max="186" width="5.77734375" bestFit="1" customWidth="1"/>
    <col min="187" max="187" width="6.21875" bestFit="1" customWidth="1"/>
    <col min="188" max="188" width="5.77734375" bestFit="1" customWidth="1"/>
    <col min="189" max="189" width="8.21875" bestFit="1" customWidth="1"/>
    <col min="190" max="190" width="6.77734375" bestFit="1" customWidth="1"/>
    <col min="191" max="191" width="8.21875" bestFit="1" customWidth="1"/>
    <col min="192" max="192" width="9.77734375" bestFit="1" customWidth="1"/>
    <col min="193" max="193" width="7.21875" bestFit="1" customWidth="1"/>
    <col min="194" max="194" width="8.21875" bestFit="1" customWidth="1"/>
    <col min="195" max="195" width="8.44140625" bestFit="1" customWidth="1"/>
    <col min="196" max="196" width="8" bestFit="1" customWidth="1"/>
    <col min="197" max="197" width="9.44140625" bestFit="1" customWidth="1"/>
    <col min="198" max="198" width="6.6640625" bestFit="1" customWidth="1"/>
    <col min="199" max="199" width="5.77734375" bestFit="1" customWidth="1"/>
    <col min="200" max="200" width="6.77734375" bestFit="1" customWidth="1"/>
    <col min="201" max="201" width="7.21875" bestFit="1" customWidth="1"/>
    <col min="202" max="202" width="5.77734375" bestFit="1" customWidth="1"/>
    <col min="203" max="203" width="8.21875" bestFit="1" customWidth="1"/>
    <col min="204" max="204" width="8.6640625" bestFit="1" customWidth="1"/>
    <col min="205" max="205" width="5.77734375" bestFit="1" customWidth="1"/>
    <col min="206" max="206" width="8.21875" bestFit="1" customWidth="1"/>
    <col min="207" max="207" width="6.77734375" bestFit="1" customWidth="1"/>
    <col min="208" max="208" width="8.21875" bestFit="1" customWidth="1"/>
    <col min="209" max="209" width="16.44140625" bestFit="1" customWidth="1"/>
    <col min="210" max="211" width="5.77734375" bestFit="1" customWidth="1"/>
    <col min="212" max="212" width="8.21875" bestFit="1" customWidth="1"/>
    <col min="213" max="213" width="6.77734375" bestFit="1" customWidth="1"/>
    <col min="214" max="214" width="9.21875" bestFit="1" customWidth="1"/>
    <col min="215" max="215" width="8.21875" bestFit="1" customWidth="1"/>
    <col min="216" max="216" width="8" bestFit="1" customWidth="1"/>
    <col min="217" max="217" width="8.77734375" bestFit="1" customWidth="1"/>
    <col min="218" max="218" width="8.21875" bestFit="1" customWidth="1"/>
    <col min="219" max="219" width="5.77734375" bestFit="1" customWidth="1"/>
    <col min="220" max="220" width="7.109375" bestFit="1" customWidth="1"/>
    <col min="221" max="221" width="5.77734375" bestFit="1" customWidth="1"/>
    <col min="222" max="222" width="8.21875" bestFit="1" customWidth="1"/>
    <col min="223" max="223" width="5.77734375" bestFit="1" customWidth="1"/>
    <col min="224" max="224" width="8.6640625" bestFit="1" customWidth="1"/>
    <col min="225" max="225" width="6.77734375" bestFit="1" customWidth="1"/>
    <col min="226" max="226" width="8.21875" bestFit="1" customWidth="1"/>
    <col min="227" max="227" width="6.44140625" bestFit="1" customWidth="1"/>
    <col min="228" max="228" width="6.77734375" bestFit="1" customWidth="1"/>
    <col min="229" max="230" width="5.77734375" bestFit="1" customWidth="1"/>
    <col min="231" max="231" width="8.21875" bestFit="1" customWidth="1"/>
    <col min="232" max="232" width="11.21875" bestFit="1" customWidth="1"/>
    <col min="233" max="233" width="12.44140625" bestFit="1" customWidth="1"/>
    <col min="234" max="234" width="15.109375" bestFit="1" customWidth="1"/>
    <col min="235" max="235" width="11.88671875" bestFit="1" customWidth="1"/>
    <col min="236" max="236" width="14.5546875" bestFit="1" customWidth="1"/>
    <col min="237" max="237" width="9.33203125" bestFit="1" customWidth="1"/>
    <col min="238" max="238" width="11.88671875" bestFit="1" customWidth="1"/>
    <col min="239" max="239" width="10.33203125" bestFit="1" customWidth="1"/>
    <col min="240" max="240" width="13" bestFit="1" customWidth="1"/>
    <col min="241" max="241" width="8.44140625" bestFit="1" customWidth="1"/>
    <col min="242" max="242" width="11" bestFit="1" customWidth="1"/>
    <col min="243" max="243" width="8.33203125" bestFit="1" customWidth="1"/>
    <col min="244" max="244" width="10.88671875" bestFit="1" customWidth="1"/>
    <col min="245" max="245" width="10.21875" bestFit="1" customWidth="1"/>
    <col min="246" max="246" width="12.88671875" bestFit="1" customWidth="1"/>
    <col min="247" max="247" width="10.5546875" bestFit="1" customWidth="1"/>
    <col min="248" max="248" width="13.21875" bestFit="1" customWidth="1"/>
    <col min="249" max="249" width="14.77734375" bestFit="1" customWidth="1"/>
    <col min="250" max="250" width="17.33203125" bestFit="1" customWidth="1"/>
    <col min="251" max="251" width="7.6640625" bestFit="1" customWidth="1"/>
    <col min="252" max="252" width="10.21875" bestFit="1" customWidth="1"/>
    <col min="253" max="253" width="6.44140625" bestFit="1" customWidth="1"/>
    <col min="254" max="254" width="9" bestFit="1" customWidth="1"/>
    <col min="255" max="255" width="8.21875" bestFit="1" customWidth="1"/>
    <col min="256" max="256" width="10.77734375" bestFit="1" customWidth="1"/>
    <col min="257" max="257" width="6.88671875" bestFit="1" customWidth="1"/>
    <col min="258" max="258" width="9.44140625" bestFit="1" customWidth="1"/>
    <col min="259" max="259" width="12.109375" bestFit="1" customWidth="1"/>
    <col min="260" max="260" width="14.77734375" bestFit="1" customWidth="1"/>
    <col min="261" max="261" width="11.5546875" bestFit="1" customWidth="1"/>
    <col min="262" max="262" width="14.21875" bestFit="1" customWidth="1"/>
    <col min="263" max="263" width="8.88671875" bestFit="1" customWidth="1"/>
    <col min="264" max="264" width="11.44140625" bestFit="1" customWidth="1"/>
    <col min="265" max="265" width="6.21875" bestFit="1" customWidth="1"/>
    <col min="266" max="266" width="8.77734375" bestFit="1" customWidth="1"/>
    <col min="267" max="267" width="10.44140625" bestFit="1" customWidth="1"/>
    <col min="268" max="268" width="13.109375" bestFit="1" customWidth="1"/>
    <col min="269" max="269" width="7.77734375" bestFit="1" customWidth="1"/>
    <col min="270" max="270" width="10.21875" bestFit="1" customWidth="1"/>
    <col min="271" max="271" width="7.88671875" bestFit="1" customWidth="1"/>
    <col min="272" max="272" width="10.44140625" bestFit="1" customWidth="1"/>
    <col min="273" max="273" width="9.77734375" bestFit="1" customWidth="1"/>
    <col min="274" max="274" width="12.21875" bestFit="1" customWidth="1"/>
    <col min="275" max="275" width="9.21875" bestFit="1" customWidth="1"/>
    <col min="276" max="276" width="11.77734375" bestFit="1" customWidth="1"/>
    <col min="277" max="277" width="7.44140625" bestFit="1" customWidth="1"/>
    <col min="278" max="278" width="10" bestFit="1" customWidth="1"/>
    <col min="279" max="279" width="6.109375" bestFit="1" customWidth="1"/>
    <col min="280" max="280" width="8.6640625" bestFit="1" customWidth="1"/>
    <col min="281" max="281" width="9" bestFit="1" customWidth="1"/>
    <col min="282" max="282" width="11.5546875" bestFit="1" customWidth="1"/>
    <col min="283" max="283" width="11.109375" bestFit="1" customWidth="1"/>
    <col min="284" max="284" width="13.77734375" bestFit="1" customWidth="1"/>
    <col min="285" max="285" width="8.5546875" bestFit="1" customWidth="1"/>
    <col min="286" max="286" width="11.109375" bestFit="1" customWidth="1"/>
    <col min="287" max="287" width="6.88671875" bestFit="1" customWidth="1"/>
    <col min="288" max="288" width="9.44140625" bestFit="1" customWidth="1"/>
    <col min="289" max="289" width="9" bestFit="1" customWidth="1"/>
    <col min="290" max="290" width="5.77734375" bestFit="1" customWidth="1"/>
    <col min="291" max="291" width="11.5546875" bestFit="1" customWidth="1"/>
    <col min="292" max="292" width="12.6640625" bestFit="1" customWidth="1"/>
    <col min="293" max="293" width="15.21875" bestFit="1" customWidth="1"/>
    <col min="294" max="294" width="7.6640625" bestFit="1" customWidth="1"/>
    <col min="295" max="295" width="10.21875" bestFit="1" customWidth="1"/>
    <col min="296" max="296" width="7.109375" bestFit="1" customWidth="1"/>
    <col min="297" max="297" width="9.6640625" bestFit="1" customWidth="1"/>
    <col min="298" max="298" width="7.21875" bestFit="1" customWidth="1"/>
    <col min="299" max="299" width="9.77734375" bestFit="1" customWidth="1"/>
    <col min="300" max="300" width="7.44140625" bestFit="1" customWidth="1"/>
    <col min="301" max="301" width="10" bestFit="1" customWidth="1"/>
    <col min="302" max="302" width="7.44140625" bestFit="1" customWidth="1"/>
    <col min="303" max="303" width="5.77734375" bestFit="1" customWidth="1"/>
    <col min="304" max="304" width="6.77734375" bestFit="1" customWidth="1"/>
    <col min="305" max="305" width="5.77734375" bestFit="1" customWidth="1"/>
    <col min="306" max="306" width="10" bestFit="1" customWidth="1"/>
    <col min="307" max="307" width="8.88671875" bestFit="1" customWidth="1"/>
    <col min="308" max="308" width="11.44140625" bestFit="1" customWidth="1"/>
    <col min="309" max="309" width="9.21875" bestFit="1" customWidth="1"/>
    <col min="310" max="310" width="11.77734375" bestFit="1" customWidth="1"/>
    <col min="311" max="311" width="7.109375" bestFit="1" customWidth="1"/>
    <col min="312" max="312" width="9.6640625" bestFit="1" customWidth="1"/>
    <col min="313" max="313" width="8.5546875" bestFit="1" customWidth="1"/>
    <col min="314" max="314" width="11.109375" bestFit="1" customWidth="1"/>
    <col min="315" max="315" width="10.5546875" bestFit="1" customWidth="1"/>
    <col min="316" max="316" width="13.21875" bestFit="1" customWidth="1"/>
    <col min="317" max="317" width="9" bestFit="1" customWidth="1"/>
    <col min="318" max="318" width="11.5546875" bestFit="1" customWidth="1"/>
    <col min="319" max="319" width="11.6640625" bestFit="1" customWidth="1"/>
    <col min="320" max="320" width="14.21875" bestFit="1" customWidth="1"/>
    <col min="321" max="321" width="11.77734375" bestFit="1" customWidth="1"/>
    <col min="322" max="322" width="14.44140625" bestFit="1" customWidth="1"/>
    <col min="323" max="323" width="8.21875" bestFit="1" customWidth="1"/>
    <col min="324" max="324" width="10.77734375" bestFit="1" customWidth="1"/>
    <col min="325" max="325" width="8.33203125" bestFit="1" customWidth="1"/>
    <col min="326" max="326" width="10.88671875" bestFit="1" customWidth="1"/>
    <col min="327" max="327" width="9.88671875" bestFit="1" customWidth="1"/>
    <col min="328" max="329" width="12.44140625" bestFit="1" customWidth="1"/>
    <col min="330" max="330" width="15.109375" bestFit="1" customWidth="1"/>
    <col min="331" max="331" width="8.6640625" bestFit="1" customWidth="1"/>
    <col min="332" max="332" width="11.21875" bestFit="1" customWidth="1"/>
    <col min="333" max="333" width="7.44140625" bestFit="1" customWidth="1"/>
    <col min="334" max="335" width="5.77734375" bestFit="1" customWidth="1"/>
    <col min="336" max="336" width="10" bestFit="1" customWidth="1"/>
    <col min="337" max="337" width="9.21875" bestFit="1" customWidth="1"/>
    <col min="338" max="338" width="11.77734375" bestFit="1" customWidth="1"/>
    <col min="339" max="339" width="11.33203125" bestFit="1" customWidth="1"/>
    <col min="340" max="340" width="14" bestFit="1" customWidth="1"/>
    <col min="341" max="341" width="11.77734375" bestFit="1" customWidth="1"/>
    <col min="342" max="342" width="14.44140625" bestFit="1" customWidth="1"/>
    <col min="343" max="343" width="17.77734375" bestFit="1" customWidth="1"/>
    <col min="344" max="344" width="20.44140625" bestFit="1" customWidth="1"/>
    <col min="345" max="345" width="6.33203125" bestFit="1" customWidth="1"/>
    <col min="346" max="346" width="8.88671875" bestFit="1" customWidth="1"/>
    <col min="347" max="347" width="9.77734375" bestFit="1" customWidth="1"/>
    <col min="348" max="348" width="12.21875" bestFit="1" customWidth="1"/>
    <col min="349" max="349" width="16.77734375" bestFit="1" customWidth="1"/>
    <col min="350" max="350" width="19.44140625" bestFit="1" customWidth="1"/>
    <col min="351" max="351" width="18" bestFit="1" customWidth="1"/>
    <col min="352" max="352" width="20.6640625" bestFit="1" customWidth="1"/>
    <col min="353" max="353" width="8.33203125" bestFit="1" customWidth="1"/>
    <col min="354" max="354" width="10.88671875" bestFit="1" customWidth="1"/>
    <col min="355" max="355" width="12" bestFit="1" customWidth="1"/>
    <col min="356" max="356" width="14.6640625" bestFit="1" customWidth="1"/>
    <col min="357" max="357" width="9.5546875" bestFit="1" customWidth="1"/>
    <col min="358" max="358" width="12.109375" bestFit="1" customWidth="1"/>
    <col min="359" max="359" width="9.88671875" bestFit="1" customWidth="1"/>
    <col min="360" max="360" width="5.77734375" bestFit="1" customWidth="1"/>
    <col min="361" max="361" width="12.44140625" bestFit="1" customWidth="1"/>
    <col min="362" max="362" width="10.33203125" bestFit="1" customWidth="1"/>
    <col min="363" max="363" width="13" bestFit="1" customWidth="1"/>
    <col min="364" max="364" width="9.88671875" bestFit="1" customWidth="1"/>
    <col min="365" max="365" width="12.44140625" bestFit="1" customWidth="1"/>
    <col min="366" max="366" width="9.33203125" bestFit="1" customWidth="1"/>
    <col min="367" max="367" width="11.88671875" bestFit="1" customWidth="1"/>
    <col min="368" max="368" width="10" bestFit="1" customWidth="1"/>
    <col min="369" max="369" width="12.5546875" bestFit="1" customWidth="1"/>
    <col min="370" max="370" width="9.77734375" bestFit="1" customWidth="1"/>
    <col min="371" max="371" width="12.21875" bestFit="1" customWidth="1"/>
    <col min="372" max="372" width="11.21875" bestFit="1" customWidth="1"/>
  </cols>
  <sheetData>
    <row r="3" spans="1:11" x14ac:dyDescent="0.3">
      <c r="A3" s="4" t="s">
        <v>355</v>
      </c>
      <c r="B3" s="4" t="s">
        <v>356</v>
      </c>
      <c r="C3" s="4" t="s">
        <v>357</v>
      </c>
      <c r="D3" s="4" t="s">
        <v>358</v>
      </c>
      <c r="E3" s="4" t="s">
        <v>362</v>
      </c>
      <c r="F3" s="5" t="s">
        <v>359</v>
      </c>
      <c r="G3" s="5" t="s">
        <v>360</v>
      </c>
    </row>
    <row r="4" spans="1:11" x14ac:dyDescent="0.3">
      <c r="A4" s="2">
        <v>1</v>
      </c>
      <c r="B4" s="2" t="s">
        <v>0</v>
      </c>
      <c r="C4" s="2" t="s">
        <v>1</v>
      </c>
      <c r="D4" s="2" t="s">
        <v>2</v>
      </c>
      <c r="E4" s="2" t="s">
        <v>3</v>
      </c>
      <c r="F4" s="3">
        <v>172000</v>
      </c>
      <c r="G4" s="3">
        <v>20000</v>
      </c>
    </row>
    <row r="5" spans="1:11" x14ac:dyDescent="0.3">
      <c r="A5" s="2">
        <v>2</v>
      </c>
      <c r="B5" s="2" t="s">
        <v>4</v>
      </c>
      <c r="C5" s="2" t="s">
        <v>5</v>
      </c>
      <c r="D5" s="2" t="s">
        <v>6</v>
      </c>
      <c r="E5" s="2" t="s">
        <v>3</v>
      </c>
      <c r="F5" s="3">
        <v>82000</v>
      </c>
      <c r="G5" s="3"/>
      <c r="K5" s="1"/>
    </row>
    <row r="6" spans="1:11" x14ac:dyDescent="0.3">
      <c r="A6" s="2">
        <v>3</v>
      </c>
      <c r="B6" s="2" t="s">
        <v>7</v>
      </c>
      <c r="C6" s="2" t="s">
        <v>8</v>
      </c>
      <c r="D6" s="2" t="s">
        <v>9</v>
      </c>
      <c r="E6" s="2" t="s">
        <v>3</v>
      </c>
      <c r="F6" s="3">
        <v>48000</v>
      </c>
      <c r="G6" s="3">
        <v>1000</v>
      </c>
    </row>
    <row r="7" spans="1:11" x14ac:dyDescent="0.3">
      <c r="A7" s="2">
        <v>4</v>
      </c>
      <c r="B7" s="2" t="s">
        <v>10</v>
      </c>
      <c r="C7" s="2" t="s">
        <v>11</v>
      </c>
      <c r="D7" s="2" t="s">
        <v>9</v>
      </c>
      <c r="E7" s="2" t="s">
        <v>3</v>
      </c>
      <c r="F7" s="3">
        <v>90000</v>
      </c>
      <c r="G7" s="3" t="s">
        <v>385</v>
      </c>
      <c r="J7" s="1"/>
    </row>
    <row r="8" spans="1:11" x14ac:dyDescent="0.3">
      <c r="A8" s="2">
        <v>5</v>
      </c>
      <c r="B8" s="2" t="s">
        <v>12</v>
      </c>
      <c r="C8" s="2" t="s">
        <v>13</v>
      </c>
      <c r="D8" s="2" t="s">
        <v>14</v>
      </c>
      <c r="E8" s="2" t="s">
        <v>3</v>
      </c>
      <c r="F8" s="3">
        <v>130000</v>
      </c>
      <c r="G8" s="3">
        <v>5000</v>
      </c>
    </row>
    <row r="9" spans="1:11" x14ac:dyDescent="0.3">
      <c r="A9" s="2">
        <v>6</v>
      </c>
      <c r="B9" s="2" t="s">
        <v>15</v>
      </c>
      <c r="C9" s="2" t="s">
        <v>16</v>
      </c>
      <c r="D9" s="2" t="s">
        <v>14</v>
      </c>
      <c r="E9" s="2" t="s">
        <v>3</v>
      </c>
      <c r="F9" s="3">
        <v>96000</v>
      </c>
      <c r="G9" s="3"/>
    </row>
    <row r="10" spans="1:11" x14ac:dyDescent="0.3">
      <c r="A10" s="2">
        <v>7</v>
      </c>
      <c r="B10" s="2" t="s">
        <v>17</v>
      </c>
      <c r="C10" s="2" t="s">
        <v>18</v>
      </c>
      <c r="D10" s="2" t="s">
        <v>9</v>
      </c>
      <c r="E10" s="2" t="s">
        <v>3</v>
      </c>
      <c r="F10" s="3">
        <v>88000</v>
      </c>
      <c r="G10" s="3"/>
    </row>
    <row r="11" spans="1:11" x14ac:dyDescent="0.3">
      <c r="A11" s="2">
        <v>8</v>
      </c>
      <c r="B11" s="2" t="s">
        <v>19</v>
      </c>
      <c r="C11" s="2" t="s">
        <v>20</v>
      </c>
      <c r="D11" s="2" t="s">
        <v>21</v>
      </c>
      <c r="E11" s="2" t="s">
        <v>3</v>
      </c>
      <c r="F11" s="3">
        <v>38000</v>
      </c>
      <c r="G11" s="3">
        <v>5000</v>
      </c>
    </row>
    <row r="12" spans="1:11" x14ac:dyDescent="0.3">
      <c r="A12" s="2">
        <v>9</v>
      </c>
      <c r="B12" s="2" t="s">
        <v>22</v>
      </c>
      <c r="C12" s="2" t="s">
        <v>23</v>
      </c>
      <c r="D12" s="2" t="s">
        <v>9</v>
      </c>
      <c r="E12" s="2" t="s">
        <v>3</v>
      </c>
      <c r="F12" s="3">
        <v>46000</v>
      </c>
      <c r="G12" s="3"/>
    </row>
    <row r="13" spans="1:11" x14ac:dyDescent="0.3">
      <c r="A13" s="2">
        <v>10</v>
      </c>
      <c r="B13" s="2" t="s">
        <v>17</v>
      </c>
      <c r="C13" s="2" t="s">
        <v>24</v>
      </c>
      <c r="D13" s="2" t="s">
        <v>14</v>
      </c>
      <c r="E13" s="2" t="s">
        <v>3</v>
      </c>
      <c r="F13" s="3">
        <v>150000</v>
      </c>
      <c r="G13" s="3">
        <v>10000</v>
      </c>
    </row>
    <row r="14" spans="1:11" x14ac:dyDescent="0.3">
      <c r="A14" s="2">
        <v>11</v>
      </c>
      <c r="B14" s="2" t="s">
        <v>25</v>
      </c>
      <c r="C14" s="2" t="s">
        <v>26</v>
      </c>
      <c r="D14" s="2" t="s">
        <v>9</v>
      </c>
      <c r="E14" s="2" t="s">
        <v>3</v>
      </c>
      <c r="F14" s="3">
        <v>52000</v>
      </c>
      <c r="G14" s="3">
        <v>3000</v>
      </c>
    </row>
    <row r="15" spans="1:11" x14ac:dyDescent="0.3">
      <c r="A15" s="2">
        <v>12</v>
      </c>
      <c r="B15" s="2" t="s">
        <v>27</v>
      </c>
      <c r="C15" s="2" t="s">
        <v>28</v>
      </c>
      <c r="D15" s="2" t="s">
        <v>6</v>
      </c>
      <c r="E15" s="2" t="s">
        <v>3</v>
      </c>
      <c r="F15" s="3">
        <v>54000</v>
      </c>
      <c r="G15" s="3">
        <v>3000</v>
      </c>
    </row>
    <row r="16" spans="1:11" x14ac:dyDescent="0.3">
      <c r="A16" s="2">
        <v>13</v>
      </c>
      <c r="B16" s="2" t="s">
        <v>29</v>
      </c>
      <c r="C16" s="2" t="s">
        <v>30</v>
      </c>
      <c r="D16" s="2" t="s">
        <v>14</v>
      </c>
      <c r="E16" s="2" t="s">
        <v>3</v>
      </c>
      <c r="F16" s="3">
        <v>100000</v>
      </c>
      <c r="G16" s="3">
        <v>20000</v>
      </c>
    </row>
    <row r="17" spans="1:7" x14ac:dyDescent="0.3">
      <c r="A17" s="2">
        <v>20</v>
      </c>
      <c r="B17" s="2" t="s">
        <v>31</v>
      </c>
      <c r="C17" s="2" t="s">
        <v>32</v>
      </c>
      <c r="D17" s="2" t="s">
        <v>9</v>
      </c>
      <c r="E17" s="2" t="s">
        <v>3</v>
      </c>
      <c r="F17" s="3">
        <v>88000</v>
      </c>
      <c r="G17" s="3"/>
    </row>
    <row r="18" spans="1:7" x14ac:dyDescent="0.3">
      <c r="A18" s="2">
        <v>21</v>
      </c>
      <c r="B18" s="2" t="s">
        <v>33</v>
      </c>
      <c r="C18" s="2" t="s">
        <v>34</v>
      </c>
      <c r="D18" s="2" t="s">
        <v>35</v>
      </c>
      <c r="E18" s="2" t="s">
        <v>3</v>
      </c>
      <c r="F18" s="3">
        <v>106000</v>
      </c>
      <c r="G18" s="3"/>
    </row>
    <row r="19" spans="1:7" x14ac:dyDescent="0.3">
      <c r="A19" s="2">
        <v>30</v>
      </c>
      <c r="B19" s="2" t="s">
        <v>0</v>
      </c>
      <c r="C19" s="2" t="s">
        <v>1</v>
      </c>
      <c r="D19" s="2" t="s">
        <v>21</v>
      </c>
      <c r="E19" s="2" t="s">
        <v>3</v>
      </c>
      <c r="F19" s="3">
        <v>72000</v>
      </c>
      <c r="G19" s="3"/>
    </row>
    <row r="20" spans="1:7" x14ac:dyDescent="0.3">
      <c r="A20" s="2">
        <v>32</v>
      </c>
      <c r="B20" s="2" t="s">
        <v>4</v>
      </c>
      <c r="C20" s="2" t="s">
        <v>5</v>
      </c>
      <c r="D20" s="2" t="s">
        <v>36</v>
      </c>
      <c r="E20" s="2" t="s">
        <v>3</v>
      </c>
      <c r="F20" s="3">
        <v>82000</v>
      </c>
      <c r="G20" s="3"/>
    </row>
    <row r="21" spans="1:7" x14ac:dyDescent="0.3">
      <c r="A21" s="2">
        <v>34</v>
      </c>
      <c r="B21" s="2" t="s">
        <v>7</v>
      </c>
      <c r="C21" s="2" t="s">
        <v>8</v>
      </c>
      <c r="D21" s="2" t="s">
        <v>9</v>
      </c>
      <c r="E21" s="2" t="s">
        <v>3</v>
      </c>
      <c r="F21" s="3">
        <v>58000</v>
      </c>
      <c r="G21" s="3">
        <v>500</v>
      </c>
    </row>
    <row r="22" spans="1:7" x14ac:dyDescent="0.3">
      <c r="A22" s="2">
        <v>35</v>
      </c>
      <c r="B22" s="2" t="s">
        <v>37</v>
      </c>
      <c r="C22" s="2" t="s">
        <v>11</v>
      </c>
      <c r="D22" s="2" t="s">
        <v>21</v>
      </c>
      <c r="E22" s="2" t="s">
        <v>3</v>
      </c>
      <c r="F22" s="3">
        <v>80000</v>
      </c>
      <c r="G22" s="3"/>
    </row>
    <row r="23" spans="1:7" x14ac:dyDescent="0.3">
      <c r="A23" s="2">
        <v>33</v>
      </c>
      <c r="B23" s="2" t="s">
        <v>38</v>
      </c>
      <c r="C23" s="2" t="s">
        <v>39</v>
      </c>
      <c r="D23" s="2" t="s">
        <v>14</v>
      </c>
      <c r="E23" s="2" t="s">
        <v>3</v>
      </c>
      <c r="F23" s="3">
        <v>96000</v>
      </c>
      <c r="G23" s="3"/>
    </row>
    <row r="24" spans="1:7" x14ac:dyDescent="0.3">
      <c r="A24" s="2">
        <v>36</v>
      </c>
      <c r="B24" s="2" t="s">
        <v>17</v>
      </c>
      <c r="C24" s="2" t="s">
        <v>40</v>
      </c>
      <c r="D24" s="2" t="s">
        <v>36</v>
      </c>
      <c r="E24" s="2" t="s">
        <v>3</v>
      </c>
      <c r="F24" s="3">
        <v>88000</v>
      </c>
      <c r="G24" s="3"/>
    </row>
    <row r="25" spans="1:7" x14ac:dyDescent="0.3">
      <c r="A25" s="2">
        <v>40</v>
      </c>
      <c r="B25" s="2" t="s">
        <v>41</v>
      </c>
      <c r="C25" s="2" t="s">
        <v>42</v>
      </c>
      <c r="D25" s="2" t="s">
        <v>6</v>
      </c>
      <c r="E25" s="2" t="s">
        <v>3</v>
      </c>
      <c r="F25" s="3">
        <v>48000</v>
      </c>
      <c r="G25" s="3">
        <v>500</v>
      </c>
    </row>
    <row r="26" spans="1:7" x14ac:dyDescent="0.3">
      <c r="A26" s="2">
        <v>41</v>
      </c>
      <c r="B26" s="2" t="s">
        <v>22</v>
      </c>
      <c r="C26" s="2" t="s">
        <v>43</v>
      </c>
      <c r="D26" s="2" t="s">
        <v>36</v>
      </c>
      <c r="E26" s="2" t="s">
        <v>3</v>
      </c>
      <c r="F26" s="3">
        <v>46000</v>
      </c>
      <c r="G26" s="3"/>
    </row>
    <row r="27" spans="1:7" x14ac:dyDescent="0.3">
      <c r="A27" s="2">
        <v>42</v>
      </c>
      <c r="B27" s="2" t="s">
        <v>17</v>
      </c>
      <c r="C27" s="2" t="s">
        <v>44</v>
      </c>
      <c r="D27" s="2" t="s">
        <v>45</v>
      </c>
      <c r="E27" s="2" t="s">
        <v>3</v>
      </c>
      <c r="F27" s="3">
        <v>120000</v>
      </c>
      <c r="G27" s="3"/>
    </row>
    <row r="28" spans="1:7" x14ac:dyDescent="0.3">
      <c r="A28" s="2">
        <v>43</v>
      </c>
      <c r="B28" s="2" t="s">
        <v>46</v>
      </c>
      <c r="C28" s="2" t="s">
        <v>47</v>
      </c>
      <c r="D28" s="2" t="s">
        <v>9</v>
      </c>
      <c r="E28" s="2" t="s">
        <v>3</v>
      </c>
      <c r="F28" s="3">
        <v>76000</v>
      </c>
      <c r="G28" s="3">
        <v>2000</v>
      </c>
    </row>
    <row r="29" spans="1:7" x14ac:dyDescent="0.3">
      <c r="A29" s="2">
        <v>44</v>
      </c>
      <c r="B29" s="2" t="s">
        <v>25</v>
      </c>
      <c r="C29" s="2" t="s">
        <v>48</v>
      </c>
      <c r="D29" s="2" t="s">
        <v>49</v>
      </c>
      <c r="E29" s="2" t="s">
        <v>3</v>
      </c>
      <c r="F29" s="3">
        <v>52000</v>
      </c>
      <c r="G29" s="3"/>
    </row>
    <row r="30" spans="1:7" x14ac:dyDescent="0.3">
      <c r="A30" s="2">
        <v>45</v>
      </c>
      <c r="B30" s="2" t="s">
        <v>27</v>
      </c>
      <c r="C30" s="2" t="s">
        <v>50</v>
      </c>
      <c r="D30" s="2" t="s">
        <v>9</v>
      </c>
      <c r="E30" s="2" t="s">
        <v>3</v>
      </c>
      <c r="F30" s="3">
        <v>84000</v>
      </c>
      <c r="G30" s="3">
        <v>500</v>
      </c>
    </row>
    <row r="31" spans="1:7" x14ac:dyDescent="0.3">
      <c r="A31" s="2">
        <v>55</v>
      </c>
      <c r="B31" s="2" t="s">
        <v>51</v>
      </c>
      <c r="C31" s="2" t="s">
        <v>40</v>
      </c>
      <c r="D31" s="2" t="s">
        <v>49</v>
      </c>
      <c r="E31" s="2" t="s">
        <v>3</v>
      </c>
      <c r="F31" s="3">
        <v>88000</v>
      </c>
      <c r="G31" s="3"/>
    </row>
    <row r="32" spans="1:7" x14ac:dyDescent="0.3">
      <c r="A32" s="2">
        <v>47</v>
      </c>
      <c r="B32" s="2" t="s">
        <v>41</v>
      </c>
      <c r="C32" s="2" t="s">
        <v>52</v>
      </c>
      <c r="D32" s="2" t="s">
        <v>35</v>
      </c>
      <c r="E32" s="2" t="s">
        <v>3</v>
      </c>
      <c r="F32" s="3">
        <v>48000</v>
      </c>
      <c r="G32" s="3">
        <v>500</v>
      </c>
    </row>
    <row r="33" spans="1:7" x14ac:dyDescent="0.3">
      <c r="A33" s="2">
        <v>48</v>
      </c>
      <c r="B33" s="2" t="s">
        <v>53</v>
      </c>
      <c r="C33" s="2" t="s">
        <v>43</v>
      </c>
      <c r="D33" s="2" t="s">
        <v>21</v>
      </c>
      <c r="E33" s="2" t="s">
        <v>3</v>
      </c>
      <c r="F33" s="3">
        <v>46000</v>
      </c>
      <c r="G33" s="3"/>
    </row>
    <row r="34" spans="1:7" x14ac:dyDescent="0.3">
      <c r="A34" s="2">
        <v>65</v>
      </c>
      <c r="B34" s="2" t="s">
        <v>54</v>
      </c>
      <c r="C34" s="2" t="s">
        <v>44</v>
      </c>
      <c r="D34" s="2" t="s">
        <v>45</v>
      </c>
      <c r="E34" s="2" t="s">
        <v>3</v>
      </c>
      <c r="F34" s="3">
        <v>120000</v>
      </c>
      <c r="G34" s="3"/>
    </row>
    <row r="35" spans="1:7" x14ac:dyDescent="0.3">
      <c r="A35" s="2">
        <v>61</v>
      </c>
      <c r="B35" s="2" t="s">
        <v>55</v>
      </c>
      <c r="C35" s="2" t="s">
        <v>48</v>
      </c>
      <c r="D35" s="2" t="s">
        <v>9</v>
      </c>
      <c r="E35" s="2" t="s">
        <v>3</v>
      </c>
      <c r="F35" s="3">
        <v>52000</v>
      </c>
      <c r="G35" s="3">
        <v>5000</v>
      </c>
    </row>
    <row r="36" spans="1:7" x14ac:dyDescent="0.3">
      <c r="A36" s="2">
        <v>67</v>
      </c>
      <c r="B36" s="2" t="s">
        <v>56</v>
      </c>
      <c r="C36" s="2" t="s">
        <v>30</v>
      </c>
      <c r="D36" s="2" t="s">
        <v>45</v>
      </c>
      <c r="E36" s="2" t="s">
        <v>3</v>
      </c>
      <c r="F36" s="3">
        <v>120000</v>
      </c>
      <c r="G36" s="3">
        <v>5000</v>
      </c>
    </row>
    <row r="37" spans="1:7" x14ac:dyDescent="0.3">
      <c r="A37" s="2">
        <v>68</v>
      </c>
      <c r="B37" s="2" t="s">
        <v>57</v>
      </c>
      <c r="C37" s="2" t="s">
        <v>32</v>
      </c>
      <c r="D37" s="2" t="s">
        <v>36</v>
      </c>
      <c r="E37" s="2" t="s">
        <v>3</v>
      </c>
      <c r="F37" s="3">
        <v>88000</v>
      </c>
      <c r="G37" s="3">
        <v>500</v>
      </c>
    </row>
    <row r="38" spans="1:7" x14ac:dyDescent="0.3">
      <c r="A38" s="2">
        <v>69</v>
      </c>
      <c r="B38" s="2" t="s">
        <v>33</v>
      </c>
      <c r="C38" s="2" t="s">
        <v>58</v>
      </c>
      <c r="D38" s="2" t="s">
        <v>9</v>
      </c>
      <c r="E38" s="2" t="s">
        <v>3</v>
      </c>
      <c r="F38" s="3">
        <v>96000</v>
      </c>
      <c r="G38" s="3">
        <v>1000</v>
      </c>
    </row>
    <row r="39" spans="1:7" x14ac:dyDescent="0.3">
      <c r="A39" s="2">
        <v>71</v>
      </c>
      <c r="B39" s="2" t="s">
        <v>59</v>
      </c>
      <c r="C39" s="2" t="s">
        <v>50</v>
      </c>
      <c r="D39" s="2" t="s">
        <v>21</v>
      </c>
      <c r="E39" s="2" t="s">
        <v>3</v>
      </c>
      <c r="F39" s="3">
        <v>84000</v>
      </c>
      <c r="G39" s="3">
        <v>1000</v>
      </c>
    </row>
    <row r="40" spans="1:7" x14ac:dyDescent="0.3">
      <c r="A40" s="2">
        <v>81</v>
      </c>
      <c r="B40" s="2" t="s">
        <v>59</v>
      </c>
      <c r="C40" s="2" t="s">
        <v>60</v>
      </c>
      <c r="D40" s="2" t="s">
        <v>9</v>
      </c>
      <c r="E40" s="2" t="s">
        <v>3</v>
      </c>
      <c r="F40" s="3">
        <v>70000</v>
      </c>
      <c r="G40" s="3">
        <v>10000</v>
      </c>
    </row>
    <row r="41" spans="1:7" x14ac:dyDescent="0.3">
      <c r="A41" s="2">
        <v>82</v>
      </c>
      <c r="B41" s="2" t="s">
        <v>12</v>
      </c>
      <c r="C41" s="2" t="s">
        <v>61</v>
      </c>
      <c r="D41" s="2" t="s">
        <v>9</v>
      </c>
      <c r="E41" s="2" t="s">
        <v>3</v>
      </c>
      <c r="F41" s="3">
        <v>89000</v>
      </c>
      <c r="G41" s="3">
        <v>1500</v>
      </c>
    </row>
    <row r="42" spans="1:7" x14ac:dyDescent="0.3">
      <c r="A42" s="2">
        <v>83</v>
      </c>
      <c r="B42" s="2" t="s">
        <v>53</v>
      </c>
      <c r="C42" s="2" t="s">
        <v>62</v>
      </c>
      <c r="D42" s="2" t="s">
        <v>49</v>
      </c>
      <c r="E42" s="2" t="s">
        <v>3</v>
      </c>
      <c r="F42" s="3">
        <v>46000</v>
      </c>
      <c r="G42" s="3"/>
    </row>
    <row r="43" spans="1:7" x14ac:dyDescent="0.3">
      <c r="A43" s="2">
        <v>84</v>
      </c>
      <c r="B43" s="2" t="s">
        <v>22</v>
      </c>
      <c r="C43" s="2" t="s">
        <v>62</v>
      </c>
      <c r="D43" s="2" t="s">
        <v>35</v>
      </c>
      <c r="E43" s="2" t="s">
        <v>3</v>
      </c>
      <c r="F43" s="3">
        <v>86000</v>
      </c>
      <c r="G43" s="3">
        <v>1000</v>
      </c>
    </row>
    <row r="44" spans="1:7" x14ac:dyDescent="0.3">
      <c r="A44" s="2">
        <v>85</v>
      </c>
      <c r="B44" s="2" t="s">
        <v>33</v>
      </c>
      <c r="C44" s="2" t="s">
        <v>63</v>
      </c>
      <c r="D44" s="2" t="s">
        <v>21</v>
      </c>
      <c r="E44" s="2" t="s">
        <v>3</v>
      </c>
      <c r="F44" s="3">
        <v>78000</v>
      </c>
      <c r="G44" s="3"/>
    </row>
    <row r="45" spans="1:7" x14ac:dyDescent="0.3">
      <c r="A45" s="2">
        <v>86</v>
      </c>
      <c r="B45" s="2" t="s">
        <v>64</v>
      </c>
      <c r="C45" s="2" t="s">
        <v>63</v>
      </c>
      <c r="D45" s="2" t="s">
        <v>35</v>
      </c>
      <c r="E45" s="2" t="s">
        <v>3</v>
      </c>
      <c r="F45" s="3">
        <v>98000</v>
      </c>
      <c r="G45" s="3"/>
    </row>
    <row r="46" spans="1:7" x14ac:dyDescent="0.3">
      <c r="A46" s="2">
        <v>87</v>
      </c>
      <c r="B46" s="2" t="s">
        <v>65</v>
      </c>
      <c r="C46" s="2" t="s">
        <v>66</v>
      </c>
      <c r="D46" s="2" t="s">
        <v>9</v>
      </c>
      <c r="E46" s="2" t="s">
        <v>3</v>
      </c>
      <c r="F46" s="3">
        <v>98000</v>
      </c>
      <c r="G46" s="3"/>
    </row>
    <row r="47" spans="1:7" x14ac:dyDescent="0.3">
      <c r="A47" s="2">
        <v>88</v>
      </c>
      <c r="B47" s="2" t="s">
        <v>0</v>
      </c>
      <c r="C47" s="2" t="s">
        <v>67</v>
      </c>
      <c r="D47" s="2" t="s">
        <v>21</v>
      </c>
      <c r="E47" s="2" t="s">
        <v>3</v>
      </c>
      <c r="F47" s="3">
        <v>72000</v>
      </c>
      <c r="G47" s="3">
        <v>1000</v>
      </c>
    </row>
    <row r="48" spans="1:7" x14ac:dyDescent="0.3">
      <c r="A48" s="2">
        <v>98</v>
      </c>
      <c r="B48" s="2" t="s">
        <v>65</v>
      </c>
      <c r="C48" s="2" t="s">
        <v>68</v>
      </c>
      <c r="D48" s="2" t="s">
        <v>2</v>
      </c>
      <c r="E48" s="2" t="s">
        <v>69</v>
      </c>
      <c r="F48" s="3">
        <v>210000</v>
      </c>
      <c r="G48" s="3">
        <v>25000</v>
      </c>
    </row>
    <row r="49" spans="1:7" x14ac:dyDescent="0.3">
      <c r="A49" s="2">
        <v>99</v>
      </c>
      <c r="B49" s="2" t="s">
        <v>19</v>
      </c>
      <c r="C49" s="2" t="s">
        <v>70</v>
      </c>
      <c r="D49" s="2" t="s">
        <v>21</v>
      </c>
      <c r="E49" s="2" t="s">
        <v>69</v>
      </c>
      <c r="F49" s="3">
        <v>45000</v>
      </c>
      <c r="G49" s="3">
        <v>500</v>
      </c>
    </row>
    <row r="50" spans="1:7" x14ac:dyDescent="0.3">
      <c r="A50" s="2">
        <v>109</v>
      </c>
      <c r="B50" s="2" t="s">
        <v>71</v>
      </c>
      <c r="C50" s="2" t="s">
        <v>72</v>
      </c>
      <c r="D50" s="2" t="s">
        <v>21</v>
      </c>
      <c r="E50" s="2" t="s">
        <v>69</v>
      </c>
      <c r="F50" s="3">
        <v>55000</v>
      </c>
      <c r="G50" s="3">
        <v>1500</v>
      </c>
    </row>
    <row r="51" spans="1:7" x14ac:dyDescent="0.3">
      <c r="A51" s="2">
        <v>106</v>
      </c>
      <c r="B51" s="2" t="s">
        <v>71</v>
      </c>
      <c r="C51" s="2" t="s">
        <v>73</v>
      </c>
      <c r="D51" s="2" t="s">
        <v>21</v>
      </c>
      <c r="E51" s="2" t="s">
        <v>69</v>
      </c>
      <c r="F51" s="3">
        <v>30000</v>
      </c>
      <c r="G51" s="3"/>
    </row>
    <row r="52" spans="1:7" x14ac:dyDescent="0.3">
      <c r="A52" s="2">
        <v>107</v>
      </c>
      <c r="B52" s="2" t="s">
        <v>74</v>
      </c>
      <c r="C52" s="2" t="s">
        <v>75</v>
      </c>
      <c r="D52" s="2" t="s">
        <v>35</v>
      </c>
      <c r="E52" s="2" t="s">
        <v>69</v>
      </c>
      <c r="F52" s="3">
        <v>87000</v>
      </c>
      <c r="G52" s="3">
        <v>1000</v>
      </c>
    </row>
    <row r="53" spans="1:7" x14ac:dyDescent="0.3">
      <c r="A53" s="2">
        <v>200</v>
      </c>
      <c r="B53" s="2" t="s">
        <v>76</v>
      </c>
      <c r="C53" s="2" t="s">
        <v>77</v>
      </c>
      <c r="D53" s="2" t="s">
        <v>21</v>
      </c>
      <c r="E53" s="2" t="s">
        <v>78</v>
      </c>
      <c r="F53" s="3">
        <v>70000</v>
      </c>
      <c r="G53" s="3">
        <v>2000</v>
      </c>
    </row>
    <row r="54" spans="1:7" x14ac:dyDescent="0.3">
      <c r="A54" s="2">
        <v>108</v>
      </c>
      <c r="B54" s="2" t="s">
        <v>79</v>
      </c>
      <c r="C54" s="2" t="s">
        <v>80</v>
      </c>
      <c r="D54" s="2" t="s">
        <v>21</v>
      </c>
      <c r="E54" s="2" t="s">
        <v>78</v>
      </c>
      <c r="F54" s="3">
        <v>70000</v>
      </c>
      <c r="G54" s="3">
        <v>2000</v>
      </c>
    </row>
    <row r="55" spans="1:7" x14ac:dyDescent="0.3">
      <c r="A55" s="2">
        <v>206</v>
      </c>
      <c r="B55" s="2" t="s">
        <v>81</v>
      </c>
      <c r="C55" s="2" t="s">
        <v>82</v>
      </c>
      <c r="D55" s="2" t="s">
        <v>21</v>
      </c>
      <c r="E55" s="2" t="s">
        <v>78</v>
      </c>
      <c r="F55" s="3">
        <v>75000</v>
      </c>
      <c r="G55" s="3">
        <v>2000</v>
      </c>
    </row>
    <row r="56" spans="1:7" x14ac:dyDescent="0.3">
      <c r="A56" s="2">
        <v>201</v>
      </c>
      <c r="B56" s="2" t="s">
        <v>83</v>
      </c>
      <c r="C56" s="2" t="s">
        <v>84</v>
      </c>
      <c r="D56" s="2" t="s">
        <v>2</v>
      </c>
      <c r="E56" s="2" t="s">
        <v>78</v>
      </c>
      <c r="F56" s="3">
        <v>225000</v>
      </c>
      <c r="G56" s="3">
        <v>2000</v>
      </c>
    </row>
    <row r="57" spans="1:7" x14ac:dyDescent="0.3">
      <c r="A57" s="2">
        <v>211</v>
      </c>
      <c r="B57" s="2" t="s">
        <v>85</v>
      </c>
      <c r="C57" s="2" t="s">
        <v>86</v>
      </c>
      <c r="D57" s="2" t="s">
        <v>2</v>
      </c>
      <c r="E57" s="2" t="s">
        <v>87</v>
      </c>
      <c r="F57" s="3">
        <v>250000</v>
      </c>
      <c r="G57" s="3">
        <v>25000</v>
      </c>
    </row>
    <row r="58" spans="1:7" x14ac:dyDescent="0.3">
      <c r="A58" s="2">
        <v>212</v>
      </c>
      <c r="B58" s="2" t="s">
        <v>88</v>
      </c>
      <c r="C58" s="2" t="s">
        <v>89</v>
      </c>
      <c r="D58" s="2" t="s">
        <v>21</v>
      </c>
      <c r="E58" s="2" t="s">
        <v>87</v>
      </c>
      <c r="F58" s="3">
        <v>56000</v>
      </c>
      <c r="G58" s="3"/>
    </row>
    <row r="59" spans="1:7" x14ac:dyDescent="0.3">
      <c r="A59" s="2">
        <v>298</v>
      </c>
      <c r="B59" s="2" t="s">
        <v>90</v>
      </c>
      <c r="C59" s="2" t="s">
        <v>8</v>
      </c>
      <c r="D59" s="2" t="s">
        <v>2</v>
      </c>
      <c r="E59" s="2" t="s">
        <v>91</v>
      </c>
      <c r="F59" s="3">
        <v>90000</v>
      </c>
      <c r="G59" s="3"/>
    </row>
    <row r="60" spans="1:7" x14ac:dyDescent="0.3">
      <c r="A60" s="2">
        <v>250</v>
      </c>
      <c r="B60" s="2" t="s">
        <v>92</v>
      </c>
      <c r="C60" s="2" t="s">
        <v>23</v>
      </c>
      <c r="D60" s="2" t="s">
        <v>21</v>
      </c>
      <c r="E60" s="2" t="s">
        <v>91</v>
      </c>
      <c r="F60" s="3">
        <v>35000</v>
      </c>
      <c r="G60" s="3"/>
    </row>
    <row r="61" spans="1:7" x14ac:dyDescent="0.3">
      <c r="A61" s="2">
        <v>260</v>
      </c>
      <c r="B61" s="2" t="s">
        <v>93</v>
      </c>
      <c r="C61" s="2" t="s">
        <v>94</v>
      </c>
      <c r="D61" s="2" t="s">
        <v>2</v>
      </c>
      <c r="E61" s="2" t="s">
        <v>95</v>
      </c>
      <c r="F61" s="3">
        <v>100000</v>
      </c>
      <c r="G61" s="3">
        <v>3000</v>
      </c>
    </row>
    <row r="62" spans="1:7" x14ac:dyDescent="0.3">
      <c r="A62" s="2">
        <v>255</v>
      </c>
      <c r="B62" s="2" t="s">
        <v>96</v>
      </c>
      <c r="C62" s="2" t="s">
        <v>97</v>
      </c>
      <c r="D62" s="2" t="s">
        <v>21</v>
      </c>
      <c r="E62" s="2" t="s">
        <v>95</v>
      </c>
      <c r="F62" s="3">
        <v>34000</v>
      </c>
      <c r="G62" s="3"/>
    </row>
    <row r="63" spans="1:7" x14ac:dyDescent="0.3">
      <c r="A63" s="2">
        <v>261</v>
      </c>
      <c r="B63" s="2" t="s">
        <v>98</v>
      </c>
      <c r="C63" s="2" t="s">
        <v>99</v>
      </c>
      <c r="D63" s="2" t="s">
        <v>21</v>
      </c>
      <c r="E63" s="2" t="s">
        <v>95</v>
      </c>
      <c r="F63" s="3">
        <v>35000</v>
      </c>
      <c r="G63" s="3"/>
    </row>
    <row r="64" spans="1:7" x14ac:dyDescent="0.3">
      <c r="A64" s="2">
        <v>252</v>
      </c>
      <c r="B64" s="2" t="s">
        <v>100</v>
      </c>
      <c r="C64" s="2" t="s">
        <v>23</v>
      </c>
      <c r="D64" s="2" t="s">
        <v>21</v>
      </c>
      <c r="E64" s="2" t="s">
        <v>91</v>
      </c>
      <c r="F64" s="3">
        <v>37000</v>
      </c>
      <c r="G64" s="3"/>
    </row>
    <row r="65" spans="1:7" x14ac:dyDescent="0.3">
      <c r="A65" s="2">
        <v>352</v>
      </c>
      <c r="B65" s="2" t="s">
        <v>101</v>
      </c>
      <c r="C65" s="2" t="s">
        <v>102</v>
      </c>
      <c r="D65" s="2" t="s">
        <v>21</v>
      </c>
      <c r="E65" s="2" t="s">
        <v>91</v>
      </c>
      <c r="F65" s="3">
        <v>34000</v>
      </c>
      <c r="G65" s="3"/>
    </row>
    <row r="66" spans="1:7" x14ac:dyDescent="0.3">
      <c r="A66" s="2">
        <v>272</v>
      </c>
      <c r="B66" s="2" t="s">
        <v>103</v>
      </c>
      <c r="C66" s="2" t="s">
        <v>30</v>
      </c>
      <c r="D66" s="2" t="s">
        <v>21</v>
      </c>
      <c r="E66" s="2" t="s">
        <v>91</v>
      </c>
      <c r="F66" s="3">
        <v>39000</v>
      </c>
      <c r="G66" s="3"/>
    </row>
    <row r="67" spans="1:7" x14ac:dyDescent="0.3">
      <c r="A67" s="2">
        <v>288</v>
      </c>
      <c r="B67" s="2" t="s">
        <v>0</v>
      </c>
      <c r="C67" s="2" t="s">
        <v>104</v>
      </c>
      <c r="D67" s="2" t="s">
        <v>21</v>
      </c>
      <c r="E67" s="2" t="s">
        <v>3</v>
      </c>
      <c r="F67" s="3">
        <v>82000</v>
      </c>
      <c r="G67" s="3">
        <v>3000</v>
      </c>
    </row>
    <row r="68" spans="1:7" x14ac:dyDescent="0.3">
      <c r="A68" s="2">
        <v>289</v>
      </c>
      <c r="B68" s="2" t="s">
        <v>105</v>
      </c>
      <c r="C68" s="2" t="s">
        <v>106</v>
      </c>
      <c r="D68" s="2" t="s">
        <v>2</v>
      </c>
      <c r="E68" s="2" t="s">
        <v>107</v>
      </c>
      <c r="F68" s="3">
        <v>160000</v>
      </c>
      <c r="G68" s="3">
        <v>20000</v>
      </c>
    </row>
    <row r="69" spans="1:7" x14ac:dyDescent="0.3">
      <c r="A69" s="2">
        <v>290</v>
      </c>
      <c r="B69" s="2" t="s">
        <v>105</v>
      </c>
      <c r="C69" s="2" t="s">
        <v>108</v>
      </c>
      <c r="D69" s="2" t="s">
        <v>21</v>
      </c>
      <c r="E69" s="2" t="s">
        <v>107</v>
      </c>
      <c r="F69" s="3">
        <v>50000</v>
      </c>
      <c r="G69" s="3">
        <v>5000</v>
      </c>
    </row>
    <row r="70" spans="1:7" x14ac:dyDescent="0.3">
      <c r="A70" s="2">
        <v>291</v>
      </c>
      <c r="B70" s="2" t="s">
        <v>109</v>
      </c>
      <c r="C70" s="2" t="s">
        <v>110</v>
      </c>
      <c r="D70" s="2" t="s">
        <v>2</v>
      </c>
      <c r="E70" s="2" t="s">
        <v>111</v>
      </c>
      <c r="F70" s="3">
        <v>195000</v>
      </c>
      <c r="G70" s="3">
        <v>15000</v>
      </c>
    </row>
    <row r="71" spans="1:7" x14ac:dyDescent="0.3">
      <c r="A71" s="2">
        <v>292</v>
      </c>
      <c r="B71" s="2" t="s">
        <v>112</v>
      </c>
      <c r="C71" s="2" t="s">
        <v>48</v>
      </c>
      <c r="D71" s="2" t="s">
        <v>21</v>
      </c>
      <c r="E71" s="2" t="s">
        <v>111</v>
      </c>
      <c r="F71" s="3">
        <v>45000</v>
      </c>
      <c r="G71" s="3"/>
    </row>
    <row r="72" spans="1:7" x14ac:dyDescent="0.3">
      <c r="A72" s="2">
        <v>293</v>
      </c>
      <c r="B72" s="2" t="s">
        <v>113</v>
      </c>
      <c r="C72" s="2" t="s">
        <v>114</v>
      </c>
      <c r="D72" s="2" t="s">
        <v>21</v>
      </c>
      <c r="E72" s="2" t="s">
        <v>111</v>
      </c>
      <c r="F72" s="3">
        <v>45000</v>
      </c>
      <c r="G72" s="3"/>
    </row>
    <row r="73" spans="1:7" x14ac:dyDescent="0.3">
      <c r="A73" s="2">
        <v>294</v>
      </c>
      <c r="B73" s="2" t="s">
        <v>115</v>
      </c>
      <c r="C73" s="2" t="s">
        <v>116</v>
      </c>
      <c r="D73" s="2" t="s">
        <v>21</v>
      </c>
      <c r="E73" s="2" t="s">
        <v>111</v>
      </c>
      <c r="F73" s="3">
        <v>45000</v>
      </c>
      <c r="G73" s="3"/>
    </row>
    <row r="74" spans="1:7" x14ac:dyDescent="0.3">
      <c r="A74" s="2">
        <v>295</v>
      </c>
      <c r="B74" s="2" t="s">
        <v>115</v>
      </c>
      <c r="C74" s="2" t="s">
        <v>48</v>
      </c>
      <c r="D74" s="2" t="s">
        <v>21</v>
      </c>
      <c r="E74" s="2" t="s">
        <v>111</v>
      </c>
      <c r="F74" s="3">
        <v>45000</v>
      </c>
      <c r="G74" s="3">
        <v>1000</v>
      </c>
    </row>
    <row r="75" spans="1:7" x14ac:dyDescent="0.3">
      <c r="A75" s="2">
        <v>296</v>
      </c>
      <c r="B75" s="2" t="s">
        <v>117</v>
      </c>
      <c r="C75" s="2" t="s">
        <v>118</v>
      </c>
      <c r="D75" s="2" t="s">
        <v>35</v>
      </c>
      <c r="E75" s="2" t="s">
        <v>111</v>
      </c>
      <c r="F75" s="3">
        <v>50000</v>
      </c>
      <c r="G75" s="3"/>
    </row>
    <row r="76" spans="1:7" x14ac:dyDescent="0.3">
      <c r="A76" s="2">
        <v>297</v>
      </c>
      <c r="B76" s="2" t="s">
        <v>119</v>
      </c>
      <c r="C76" s="2" t="s">
        <v>120</v>
      </c>
      <c r="D76" s="2" t="s">
        <v>49</v>
      </c>
      <c r="E76" s="2" t="s">
        <v>111</v>
      </c>
      <c r="F76" s="3">
        <v>45000</v>
      </c>
      <c r="G76" s="3"/>
    </row>
    <row r="77" spans="1:7" x14ac:dyDescent="0.3">
      <c r="A77" s="2">
        <v>1298</v>
      </c>
      <c r="B77" s="2" t="s">
        <v>121</v>
      </c>
      <c r="C77" s="2" t="s">
        <v>122</v>
      </c>
      <c r="D77" s="2" t="s">
        <v>21</v>
      </c>
      <c r="E77" s="2" t="s">
        <v>111</v>
      </c>
      <c r="F77" s="3">
        <v>41000</v>
      </c>
      <c r="G77" s="3"/>
    </row>
    <row r="78" spans="1:7" x14ac:dyDescent="0.3">
      <c r="A78" s="2">
        <v>299</v>
      </c>
      <c r="B78" s="2" t="s">
        <v>123</v>
      </c>
      <c r="C78" s="2" t="s">
        <v>124</v>
      </c>
      <c r="D78" s="2" t="s">
        <v>35</v>
      </c>
      <c r="E78" s="2" t="s">
        <v>111</v>
      </c>
      <c r="F78" s="3">
        <v>39000</v>
      </c>
      <c r="G78" s="3">
        <v>5000</v>
      </c>
    </row>
    <row r="79" spans="1:7" x14ac:dyDescent="0.3">
      <c r="A79" s="2">
        <v>301</v>
      </c>
      <c r="B79" s="2" t="s">
        <v>125</v>
      </c>
      <c r="C79" s="2" t="s">
        <v>126</v>
      </c>
      <c r="D79" s="2" t="s">
        <v>45</v>
      </c>
      <c r="E79" s="2" t="s">
        <v>111</v>
      </c>
      <c r="F79" s="3">
        <v>61000</v>
      </c>
      <c r="G79" s="3">
        <v>5000</v>
      </c>
    </row>
    <row r="80" spans="1:7" x14ac:dyDescent="0.3">
      <c r="A80" s="2">
        <v>399</v>
      </c>
      <c r="B80" s="2" t="s">
        <v>127</v>
      </c>
      <c r="C80" s="2" t="s">
        <v>128</v>
      </c>
      <c r="D80" s="2" t="s">
        <v>2</v>
      </c>
      <c r="E80" s="2" t="s">
        <v>129</v>
      </c>
      <c r="F80" s="3">
        <v>161000</v>
      </c>
      <c r="G80" s="3">
        <v>5000</v>
      </c>
    </row>
    <row r="81" spans="1:7" x14ac:dyDescent="0.3">
      <c r="A81" s="2">
        <v>401</v>
      </c>
      <c r="B81" s="2" t="s">
        <v>130</v>
      </c>
      <c r="C81" s="2" t="s">
        <v>131</v>
      </c>
      <c r="D81" s="2" t="s">
        <v>45</v>
      </c>
      <c r="E81" s="2" t="s">
        <v>129</v>
      </c>
      <c r="F81" s="3">
        <v>125000</v>
      </c>
      <c r="G81" s="3">
        <v>20000</v>
      </c>
    </row>
    <row r="82" spans="1:7" x14ac:dyDescent="0.3">
      <c r="A82" s="2">
        <v>402</v>
      </c>
      <c r="B82" s="2" t="s">
        <v>132</v>
      </c>
      <c r="C82" s="2" t="s">
        <v>48</v>
      </c>
      <c r="D82" s="2" t="s">
        <v>21</v>
      </c>
      <c r="E82" s="2" t="s">
        <v>95</v>
      </c>
      <c r="F82" s="3">
        <v>33000</v>
      </c>
      <c r="G82" s="3"/>
    </row>
    <row r="83" spans="1:7" x14ac:dyDescent="0.3">
      <c r="A83" s="2">
        <v>501</v>
      </c>
      <c r="B83" s="2" t="s">
        <v>133</v>
      </c>
      <c r="C83" s="2" t="s">
        <v>134</v>
      </c>
      <c r="D83" s="2" t="s">
        <v>21</v>
      </c>
      <c r="E83" s="2" t="s">
        <v>129</v>
      </c>
      <c r="F83" s="3">
        <v>45000</v>
      </c>
      <c r="G83" s="3"/>
    </row>
    <row r="84" spans="1:7" x14ac:dyDescent="0.3">
      <c r="A84" s="2">
        <v>502</v>
      </c>
      <c r="B84" s="2" t="s">
        <v>135</v>
      </c>
      <c r="C84" s="2" t="s">
        <v>134</v>
      </c>
      <c r="D84" s="2" t="s">
        <v>21</v>
      </c>
      <c r="E84" s="2" t="s">
        <v>129</v>
      </c>
      <c r="F84" s="3">
        <v>35000</v>
      </c>
      <c r="G84" s="3"/>
    </row>
    <row r="85" spans="1:7" x14ac:dyDescent="0.3">
      <c r="A85" s="2">
        <v>505</v>
      </c>
      <c r="B85" s="2" t="s">
        <v>136</v>
      </c>
      <c r="C85" s="2" t="s">
        <v>134</v>
      </c>
      <c r="D85" s="2" t="s">
        <v>21</v>
      </c>
      <c r="E85" s="2" t="s">
        <v>129</v>
      </c>
      <c r="F85" s="3">
        <v>42000</v>
      </c>
      <c r="G85" s="3"/>
    </row>
    <row r="86" spans="1:7" x14ac:dyDescent="0.3">
      <c r="A86" s="2">
        <v>503</v>
      </c>
      <c r="B86" s="2" t="s">
        <v>137</v>
      </c>
      <c r="C86" s="2" t="s">
        <v>138</v>
      </c>
      <c r="D86" s="2" t="s">
        <v>21</v>
      </c>
      <c r="E86" s="2" t="s">
        <v>129</v>
      </c>
      <c r="F86" s="3">
        <v>60000</v>
      </c>
      <c r="G86" s="3">
        <v>10000</v>
      </c>
    </row>
    <row r="87" spans="1:7" x14ac:dyDescent="0.3">
      <c r="A87" s="2">
        <v>10348</v>
      </c>
      <c r="B87" s="2" t="s">
        <v>139</v>
      </c>
      <c r="C87" s="2" t="s">
        <v>68</v>
      </c>
      <c r="D87" s="2" t="s">
        <v>21</v>
      </c>
      <c r="E87" s="2" t="s">
        <v>3</v>
      </c>
      <c r="F87" s="3">
        <v>73000</v>
      </c>
      <c r="G87" s="3">
        <v>3000</v>
      </c>
    </row>
    <row r="88" spans="1:7" x14ac:dyDescent="0.3">
      <c r="A88" s="2">
        <v>10083</v>
      </c>
      <c r="B88" s="2" t="s">
        <v>140</v>
      </c>
      <c r="C88" s="2" t="s">
        <v>141</v>
      </c>
      <c r="D88" s="2" t="s">
        <v>9</v>
      </c>
      <c r="E88" s="2" t="s">
        <v>129</v>
      </c>
      <c r="F88" s="3">
        <v>70000</v>
      </c>
      <c r="G88" s="3">
        <v>1500</v>
      </c>
    </row>
    <row r="89" spans="1:7" x14ac:dyDescent="0.3">
      <c r="A89" s="2">
        <v>10082</v>
      </c>
      <c r="B89" s="2" t="s">
        <v>142</v>
      </c>
      <c r="C89" s="2" t="s">
        <v>143</v>
      </c>
      <c r="D89" s="2" t="s">
        <v>9</v>
      </c>
      <c r="E89" s="2" t="s">
        <v>129</v>
      </c>
      <c r="F89" s="3">
        <v>55000</v>
      </c>
      <c r="G89" s="3">
        <v>1500</v>
      </c>
    </row>
    <row r="90" spans="1:7" x14ac:dyDescent="0.3">
      <c r="A90" s="2">
        <v>11085</v>
      </c>
      <c r="B90" s="2" t="s">
        <v>144</v>
      </c>
      <c r="C90" s="2" t="s">
        <v>145</v>
      </c>
      <c r="D90" s="2" t="s">
        <v>9</v>
      </c>
      <c r="E90" s="2" t="s">
        <v>111</v>
      </c>
      <c r="F90" s="3">
        <v>51000</v>
      </c>
      <c r="G90" s="3">
        <v>3000</v>
      </c>
    </row>
    <row r="91" spans="1:7" x14ac:dyDescent="0.3">
      <c r="A91" s="2">
        <v>10085</v>
      </c>
      <c r="B91" s="2" t="s">
        <v>146</v>
      </c>
      <c r="C91" s="2" t="s">
        <v>147</v>
      </c>
      <c r="D91" s="2" t="s">
        <v>9</v>
      </c>
      <c r="E91" s="2" t="s">
        <v>111</v>
      </c>
      <c r="F91" s="3">
        <v>45000</v>
      </c>
      <c r="G91" s="3">
        <v>3000</v>
      </c>
    </row>
    <row r="92" spans="1:7" x14ac:dyDescent="0.3">
      <c r="A92" s="2">
        <v>10086</v>
      </c>
      <c r="B92" s="2" t="s">
        <v>148</v>
      </c>
      <c r="C92" s="2" t="s">
        <v>149</v>
      </c>
      <c r="D92" s="2" t="s">
        <v>21</v>
      </c>
      <c r="E92" s="2" t="s">
        <v>150</v>
      </c>
      <c r="F92" s="3">
        <v>35000</v>
      </c>
      <c r="G92" s="3">
        <v>5000</v>
      </c>
    </row>
    <row r="93" spans="1:7" x14ac:dyDescent="0.3">
      <c r="A93" s="2">
        <v>10087</v>
      </c>
      <c r="B93" s="2" t="s">
        <v>151</v>
      </c>
      <c r="C93" s="2" t="s">
        <v>152</v>
      </c>
      <c r="D93" s="2" t="s">
        <v>2</v>
      </c>
      <c r="E93" s="2" t="s">
        <v>150</v>
      </c>
      <c r="F93" s="3">
        <v>120000</v>
      </c>
      <c r="G93" s="3"/>
    </row>
    <row r="94" spans="1:7" x14ac:dyDescent="0.3">
      <c r="A94" s="2">
        <v>10088</v>
      </c>
      <c r="B94" s="2" t="s">
        <v>153</v>
      </c>
      <c r="C94" s="2" t="s">
        <v>147</v>
      </c>
      <c r="D94" s="2" t="s">
        <v>9</v>
      </c>
      <c r="E94" s="2" t="s">
        <v>111</v>
      </c>
      <c r="F94" s="3">
        <v>29000</v>
      </c>
      <c r="G94" s="3"/>
    </row>
    <row r="95" spans="1:7" x14ac:dyDescent="0.3">
      <c r="A95" s="2">
        <v>10089</v>
      </c>
      <c r="B95" s="2" t="s">
        <v>153</v>
      </c>
      <c r="C95" s="2" t="s">
        <v>110</v>
      </c>
      <c r="D95" s="2" t="s">
        <v>45</v>
      </c>
      <c r="E95" s="2" t="s">
        <v>111</v>
      </c>
      <c r="F95" s="3">
        <v>88000</v>
      </c>
      <c r="G95" s="3">
        <v>5000</v>
      </c>
    </row>
    <row r="96" spans="1:7" x14ac:dyDescent="0.3">
      <c r="A96" s="2">
        <v>19349</v>
      </c>
      <c r="B96" s="2" t="s">
        <v>22</v>
      </c>
      <c r="C96" s="2" t="s">
        <v>68</v>
      </c>
      <c r="D96" s="2" t="s">
        <v>9</v>
      </c>
      <c r="E96" s="2" t="s">
        <v>3</v>
      </c>
      <c r="F96" s="3">
        <v>77000</v>
      </c>
      <c r="G96" s="3"/>
    </row>
    <row r="97" spans="1:7" x14ac:dyDescent="0.3">
      <c r="A97" s="2">
        <v>19359</v>
      </c>
      <c r="B97" s="2" t="s">
        <v>154</v>
      </c>
      <c r="C97" s="2" t="s">
        <v>68</v>
      </c>
      <c r="D97" s="2" t="s">
        <v>9</v>
      </c>
      <c r="E97" s="2" t="s">
        <v>3</v>
      </c>
      <c r="F97" s="3">
        <v>90000</v>
      </c>
      <c r="G97" s="3"/>
    </row>
    <row r="98" spans="1:7" x14ac:dyDescent="0.3">
      <c r="A98" s="2">
        <v>19369</v>
      </c>
      <c r="B98" s="2" t="s">
        <v>41</v>
      </c>
      <c r="C98" s="2" t="s">
        <v>68</v>
      </c>
      <c r="D98" s="2" t="s">
        <v>9</v>
      </c>
      <c r="E98" s="2" t="s">
        <v>3</v>
      </c>
      <c r="F98" s="3">
        <v>64000</v>
      </c>
      <c r="G98" s="3"/>
    </row>
    <row r="99" spans="1:7" x14ac:dyDescent="0.3">
      <c r="A99" s="2">
        <v>19459</v>
      </c>
      <c r="B99" s="2" t="s">
        <v>155</v>
      </c>
      <c r="C99" s="2" t="s">
        <v>42</v>
      </c>
      <c r="D99" s="2" t="s">
        <v>9</v>
      </c>
      <c r="E99" s="2" t="s">
        <v>3</v>
      </c>
      <c r="F99" s="3">
        <v>66000</v>
      </c>
      <c r="G99" s="3"/>
    </row>
    <row r="100" spans="1:7" x14ac:dyDescent="0.3">
      <c r="A100" s="2">
        <v>18369</v>
      </c>
      <c r="B100" s="2" t="s">
        <v>41</v>
      </c>
      <c r="C100" s="2" t="s">
        <v>156</v>
      </c>
      <c r="D100" s="2" t="s">
        <v>9</v>
      </c>
      <c r="E100" s="2" t="s">
        <v>3</v>
      </c>
      <c r="F100" s="3">
        <v>68000</v>
      </c>
      <c r="G100" s="3"/>
    </row>
    <row r="101" spans="1:7" x14ac:dyDescent="0.3">
      <c r="A101" s="2">
        <v>10090</v>
      </c>
      <c r="B101" s="2" t="s">
        <v>157</v>
      </c>
      <c r="C101" s="2" t="s">
        <v>158</v>
      </c>
      <c r="D101" s="2" t="s">
        <v>9</v>
      </c>
      <c r="E101" s="2" t="s">
        <v>111</v>
      </c>
      <c r="F101" s="3">
        <v>35000</v>
      </c>
      <c r="G101" s="3"/>
    </row>
    <row r="102" spans="1:7" x14ac:dyDescent="0.3">
      <c r="A102" s="2">
        <v>10091</v>
      </c>
      <c r="B102" s="2" t="s">
        <v>159</v>
      </c>
      <c r="C102" s="2" t="s">
        <v>160</v>
      </c>
      <c r="D102" s="2" t="s">
        <v>9</v>
      </c>
      <c r="E102" s="2" t="s">
        <v>111</v>
      </c>
      <c r="F102" s="3">
        <v>90000</v>
      </c>
      <c r="G102" s="3">
        <v>5000</v>
      </c>
    </row>
    <row r="103" spans="1:7" x14ac:dyDescent="0.3">
      <c r="A103" s="2">
        <v>10092</v>
      </c>
      <c r="B103" s="2" t="s">
        <v>161</v>
      </c>
      <c r="C103" s="2" t="s">
        <v>162</v>
      </c>
      <c r="D103" s="2" t="s">
        <v>2</v>
      </c>
      <c r="E103" s="2" t="s">
        <v>163</v>
      </c>
      <c r="F103" s="3">
        <v>110000</v>
      </c>
      <c r="G103" s="3"/>
    </row>
    <row r="104" spans="1:7" x14ac:dyDescent="0.3">
      <c r="A104" s="2">
        <v>10093</v>
      </c>
      <c r="B104" s="2" t="s">
        <v>164</v>
      </c>
      <c r="C104" s="2" t="s">
        <v>165</v>
      </c>
      <c r="D104" s="2" t="s">
        <v>21</v>
      </c>
      <c r="E104" s="2" t="s">
        <v>163</v>
      </c>
      <c r="F104" s="3">
        <v>35000</v>
      </c>
      <c r="G104" s="3"/>
    </row>
    <row r="105" spans="1:7" x14ac:dyDescent="0.3">
      <c r="A105" s="2">
        <v>10094</v>
      </c>
      <c r="B105" s="2" t="s">
        <v>166</v>
      </c>
      <c r="C105" s="2" t="s">
        <v>167</v>
      </c>
      <c r="D105" s="2" t="s">
        <v>21</v>
      </c>
      <c r="E105" s="2" t="s">
        <v>163</v>
      </c>
      <c r="F105" s="3">
        <v>35000</v>
      </c>
      <c r="G105" s="3"/>
    </row>
    <row r="106" spans="1:7" x14ac:dyDescent="0.3">
      <c r="A106" s="2">
        <v>10095</v>
      </c>
      <c r="B106" s="2" t="s">
        <v>168</v>
      </c>
      <c r="C106" s="2" t="s">
        <v>169</v>
      </c>
      <c r="D106" s="2" t="s">
        <v>9</v>
      </c>
      <c r="E106" s="2" t="s">
        <v>111</v>
      </c>
      <c r="F106" s="3">
        <v>54000</v>
      </c>
      <c r="G106" s="3"/>
    </row>
    <row r="107" spans="1:7" x14ac:dyDescent="0.3">
      <c r="A107" s="2">
        <v>10096</v>
      </c>
      <c r="B107" s="2" t="s">
        <v>170</v>
      </c>
      <c r="C107" s="2" t="s">
        <v>171</v>
      </c>
      <c r="D107" s="2" t="s">
        <v>45</v>
      </c>
      <c r="E107" s="2" t="s">
        <v>111</v>
      </c>
      <c r="F107" s="3">
        <v>70000</v>
      </c>
      <c r="G107" s="3"/>
    </row>
    <row r="108" spans="1:7" x14ac:dyDescent="0.3">
      <c r="A108" s="2">
        <v>10097</v>
      </c>
      <c r="B108" s="2" t="s">
        <v>172</v>
      </c>
      <c r="C108" s="2" t="s">
        <v>173</v>
      </c>
      <c r="D108" s="2" t="s">
        <v>9</v>
      </c>
      <c r="E108" s="2" t="s">
        <v>3</v>
      </c>
      <c r="F108" s="3">
        <v>63000</v>
      </c>
      <c r="G108" s="3"/>
    </row>
    <row r="109" spans="1:7" x14ac:dyDescent="0.3">
      <c r="A109" s="2">
        <v>10098</v>
      </c>
      <c r="B109" s="2" t="s">
        <v>7</v>
      </c>
      <c r="C109" s="2" t="s">
        <v>39</v>
      </c>
      <c r="D109" s="2" t="s">
        <v>9</v>
      </c>
      <c r="E109" s="2" t="s">
        <v>3</v>
      </c>
      <c r="F109" s="3">
        <v>67000</v>
      </c>
      <c r="G109" s="3"/>
    </row>
    <row r="110" spans="1:7" x14ac:dyDescent="0.3">
      <c r="A110" s="2">
        <v>10099</v>
      </c>
      <c r="B110" s="2" t="s">
        <v>174</v>
      </c>
      <c r="C110" s="2" t="s">
        <v>110</v>
      </c>
      <c r="D110" s="2" t="s">
        <v>45</v>
      </c>
      <c r="E110" s="2" t="s">
        <v>111</v>
      </c>
      <c r="F110" s="3">
        <v>78000</v>
      </c>
      <c r="G110" s="3">
        <v>3000</v>
      </c>
    </row>
    <row r="111" spans="1:7" x14ac:dyDescent="0.3">
      <c r="A111" s="2">
        <v>10100</v>
      </c>
      <c r="B111" s="2" t="s">
        <v>154</v>
      </c>
      <c r="C111" s="2" t="s">
        <v>175</v>
      </c>
      <c r="D111" s="2" t="s">
        <v>2</v>
      </c>
      <c r="E111" s="2" t="s">
        <v>176</v>
      </c>
      <c r="F111" s="3">
        <v>80000</v>
      </c>
      <c r="G111" s="3">
        <v>10000</v>
      </c>
    </row>
    <row r="112" spans="1:7" x14ac:dyDescent="0.3">
      <c r="A112" s="2">
        <v>10101</v>
      </c>
      <c r="B112" s="2" t="s">
        <v>177</v>
      </c>
      <c r="C112" s="2" t="s">
        <v>178</v>
      </c>
      <c r="D112" s="2" t="s">
        <v>21</v>
      </c>
      <c r="E112" s="2" t="s">
        <v>176</v>
      </c>
      <c r="F112" s="3">
        <v>28000</v>
      </c>
      <c r="G112" s="3">
        <v>2000</v>
      </c>
    </row>
    <row r="113" spans="1:7" x14ac:dyDescent="0.3">
      <c r="A113" s="2">
        <v>10102</v>
      </c>
      <c r="B113" s="2" t="s">
        <v>179</v>
      </c>
      <c r="C113" s="2" t="s">
        <v>180</v>
      </c>
      <c r="D113" s="2" t="s">
        <v>21</v>
      </c>
      <c r="E113" s="2" t="s">
        <v>176</v>
      </c>
      <c r="F113" s="3">
        <v>30000</v>
      </c>
      <c r="G113" s="3">
        <v>2000</v>
      </c>
    </row>
    <row r="114" spans="1:7" x14ac:dyDescent="0.3">
      <c r="A114" s="2">
        <v>10103</v>
      </c>
      <c r="B114" s="2" t="s">
        <v>181</v>
      </c>
      <c r="C114" s="2" t="s">
        <v>182</v>
      </c>
      <c r="D114" s="2" t="s">
        <v>9</v>
      </c>
      <c r="E114" s="2" t="s">
        <v>111</v>
      </c>
      <c r="F114" s="3">
        <v>56000</v>
      </c>
      <c r="G114" s="3"/>
    </row>
    <row r="115" spans="1:7" x14ac:dyDescent="0.3">
      <c r="A115" s="2">
        <v>10104</v>
      </c>
      <c r="B115" s="2" t="s">
        <v>183</v>
      </c>
      <c r="C115" s="2" t="s">
        <v>180</v>
      </c>
      <c r="D115" s="2" t="s">
        <v>21</v>
      </c>
      <c r="E115" s="2" t="s">
        <v>176</v>
      </c>
      <c r="F115" s="3">
        <v>28000</v>
      </c>
      <c r="G115" s="3">
        <v>1000</v>
      </c>
    </row>
    <row r="116" spans="1:7" x14ac:dyDescent="0.3">
      <c r="A116" s="2">
        <v>10105</v>
      </c>
      <c r="B116" s="2" t="s">
        <v>184</v>
      </c>
      <c r="C116" s="2" t="s">
        <v>178</v>
      </c>
      <c r="D116" s="2" t="s">
        <v>21</v>
      </c>
      <c r="E116" s="2" t="s">
        <v>176</v>
      </c>
      <c r="F116" s="3">
        <v>40000</v>
      </c>
      <c r="G116" s="3"/>
    </row>
    <row r="117" spans="1:7" x14ac:dyDescent="0.3">
      <c r="A117" s="2">
        <v>10106</v>
      </c>
      <c r="B117" s="2" t="s">
        <v>185</v>
      </c>
      <c r="C117" s="2" t="s">
        <v>186</v>
      </c>
      <c r="D117" s="2" t="s">
        <v>9</v>
      </c>
      <c r="E117" s="2" t="s">
        <v>3</v>
      </c>
      <c r="F117" s="3">
        <v>60000</v>
      </c>
      <c r="G117" s="3"/>
    </row>
    <row r="118" spans="1:7" x14ac:dyDescent="0.3">
      <c r="A118" s="2">
        <v>10107</v>
      </c>
      <c r="B118" s="2" t="s">
        <v>187</v>
      </c>
      <c r="C118" s="2" t="s">
        <v>188</v>
      </c>
      <c r="D118" s="2" t="s">
        <v>9</v>
      </c>
      <c r="E118" s="2" t="s">
        <v>3</v>
      </c>
      <c r="F118" s="3">
        <v>58000</v>
      </c>
      <c r="G118" s="3"/>
    </row>
    <row r="119" spans="1:7" x14ac:dyDescent="0.3">
      <c r="A119" s="2">
        <v>10108</v>
      </c>
      <c r="B119" s="2" t="s">
        <v>22</v>
      </c>
      <c r="C119" s="2" t="s">
        <v>189</v>
      </c>
      <c r="D119" s="2" t="s">
        <v>9</v>
      </c>
      <c r="E119" s="2" t="s">
        <v>3</v>
      </c>
      <c r="F119" s="3">
        <v>63000</v>
      </c>
      <c r="G119" s="3"/>
    </row>
    <row r="120" spans="1:7" x14ac:dyDescent="0.3">
      <c r="A120" s="2">
        <v>10109</v>
      </c>
      <c r="B120" s="2" t="s">
        <v>184</v>
      </c>
      <c r="C120" s="2" t="s">
        <v>190</v>
      </c>
      <c r="D120" s="2" t="s">
        <v>21</v>
      </c>
      <c r="E120" s="2" t="s">
        <v>176</v>
      </c>
      <c r="F120" s="3">
        <v>43000</v>
      </c>
      <c r="G120" s="3"/>
    </row>
    <row r="121" spans="1:7" x14ac:dyDescent="0.3">
      <c r="A121" s="2">
        <v>10110</v>
      </c>
      <c r="B121" s="2" t="s">
        <v>191</v>
      </c>
      <c r="C121" s="2" t="s">
        <v>192</v>
      </c>
      <c r="D121" s="2" t="s">
        <v>35</v>
      </c>
      <c r="E121" s="2" t="s">
        <v>176</v>
      </c>
      <c r="F121" s="3">
        <v>55000</v>
      </c>
      <c r="G121" s="3"/>
    </row>
    <row r="122" spans="1:7" x14ac:dyDescent="0.3">
      <c r="A122" s="2">
        <v>10111</v>
      </c>
      <c r="B122" s="2" t="s">
        <v>193</v>
      </c>
      <c r="C122" s="2" t="s">
        <v>194</v>
      </c>
      <c r="D122" s="2" t="s">
        <v>2</v>
      </c>
      <c r="E122" s="2" t="s">
        <v>195</v>
      </c>
      <c r="F122" s="3">
        <v>250000</v>
      </c>
      <c r="G122" s="3">
        <v>10000</v>
      </c>
    </row>
    <row r="123" spans="1:7" x14ac:dyDescent="0.3">
      <c r="A123" s="2">
        <v>10112</v>
      </c>
      <c r="B123" s="2" t="s">
        <v>154</v>
      </c>
      <c r="C123" s="2" t="s">
        <v>196</v>
      </c>
      <c r="D123" s="2" t="s">
        <v>21</v>
      </c>
      <c r="E123" s="2" t="s">
        <v>195</v>
      </c>
      <c r="F123" s="3">
        <v>50000</v>
      </c>
      <c r="G123" s="3">
        <v>5000</v>
      </c>
    </row>
    <row r="124" spans="1:7" x14ac:dyDescent="0.3">
      <c r="A124" s="2">
        <v>10113</v>
      </c>
      <c r="B124" s="2" t="s">
        <v>197</v>
      </c>
      <c r="C124" s="2" t="s">
        <v>189</v>
      </c>
      <c r="D124" s="2" t="s">
        <v>2</v>
      </c>
      <c r="E124" s="2" t="s">
        <v>198</v>
      </c>
      <c r="F124" s="3">
        <v>150000</v>
      </c>
      <c r="G124" s="3"/>
    </row>
    <row r="125" spans="1:7" x14ac:dyDescent="0.3">
      <c r="A125" s="2">
        <v>10114</v>
      </c>
      <c r="B125" s="2" t="s">
        <v>199</v>
      </c>
      <c r="C125" s="2" t="s">
        <v>97</v>
      </c>
      <c r="D125" s="2" t="s">
        <v>21</v>
      </c>
      <c r="E125" s="2" t="s">
        <v>198</v>
      </c>
      <c r="F125" s="3">
        <v>65000</v>
      </c>
      <c r="G125" s="3"/>
    </row>
    <row r="126" spans="1:7" x14ac:dyDescent="0.3">
      <c r="A126" s="2">
        <v>10115</v>
      </c>
      <c r="B126" s="2" t="s">
        <v>22</v>
      </c>
      <c r="C126" s="2" t="s">
        <v>23</v>
      </c>
      <c r="D126" s="2" t="s">
        <v>9</v>
      </c>
      <c r="E126" s="2" t="s">
        <v>3</v>
      </c>
      <c r="F126" s="3">
        <v>79000</v>
      </c>
      <c r="G126" s="3"/>
    </row>
    <row r="127" spans="1:7" x14ac:dyDescent="0.3">
      <c r="A127" s="2">
        <v>10116</v>
      </c>
      <c r="B127" s="2" t="s">
        <v>200</v>
      </c>
      <c r="C127" s="2" t="s">
        <v>201</v>
      </c>
      <c r="D127" s="2" t="s">
        <v>45</v>
      </c>
      <c r="E127" s="2" t="s">
        <v>111</v>
      </c>
      <c r="F127" s="3">
        <v>75000</v>
      </c>
      <c r="G127" s="3"/>
    </row>
    <row r="128" spans="1:7" x14ac:dyDescent="0.3">
      <c r="A128" s="2">
        <v>10117</v>
      </c>
      <c r="B128" s="2" t="s">
        <v>202</v>
      </c>
      <c r="C128" s="2" t="s">
        <v>203</v>
      </c>
      <c r="D128" s="2" t="s">
        <v>9</v>
      </c>
      <c r="E128" s="2" t="s">
        <v>204</v>
      </c>
      <c r="F128" s="3">
        <v>38000</v>
      </c>
      <c r="G128" s="3"/>
    </row>
    <row r="129" spans="1:7" x14ac:dyDescent="0.3">
      <c r="A129" s="2">
        <v>10118</v>
      </c>
      <c r="B129" s="2" t="s">
        <v>0</v>
      </c>
      <c r="C129" s="2" t="s">
        <v>138</v>
      </c>
      <c r="D129" s="2" t="s">
        <v>2</v>
      </c>
      <c r="E129" s="2" t="s">
        <v>204</v>
      </c>
      <c r="F129" s="3">
        <v>185000</v>
      </c>
      <c r="G129" s="3">
        <v>5000</v>
      </c>
    </row>
    <row r="130" spans="1:7" x14ac:dyDescent="0.3">
      <c r="A130" s="2">
        <v>10119</v>
      </c>
      <c r="B130" s="2" t="s">
        <v>205</v>
      </c>
      <c r="C130" s="2" t="s">
        <v>206</v>
      </c>
      <c r="D130" s="2" t="s">
        <v>21</v>
      </c>
      <c r="E130" s="2" t="s">
        <v>204</v>
      </c>
      <c r="F130" s="3">
        <v>38000</v>
      </c>
      <c r="G130" s="3"/>
    </row>
    <row r="131" spans="1:7" x14ac:dyDescent="0.3">
      <c r="A131" s="2">
        <v>10120</v>
      </c>
      <c r="B131" s="2" t="s">
        <v>207</v>
      </c>
      <c r="C131" s="2" t="s">
        <v>147</v>
      </c>
      <c r="D131" s="2" t="s">
        <v>21</v>
      </c>
      <c r="E131" s="2" t="s">
        <v>204</v>
      </c>
      <c r="F131" s="3">
        <v>48000</v>
      </c>
      <c r="G131" s="3"/>
    </row>
    <row r="132" spans="1:7" x14ac:dyDescent="0.3">
      <c r="A132" s="2">
        <v>10121</v>
      </c>
      <c r="B132" s="2" t="s">
        <v>208</v>
      </c>
      <c r="C132" s="2" t="s">
        <v>209</v>
      </c>
      <c r="D132" s="2" t="s">
        <v>21</v>
      </c>
      <c r="E132" s="2" t="s">
        <v>204</v>
      </c>
      <c r="F132" s="3">
        <v>34000</v>
      </c>
      <c r="G132" s="3"/>
    </row>
    <row r="133" spans="1:7" x14ac:dyDescent="0.3">
      <c r="A133" s="2">
        <v>10122</v>
      </c>
      <c r="B133" s="2" t="s">
        <v>210</v>
      </c>
      <c r="C133" s="2" t="s">
        <v>211</v>
      </c>
      <c r="D133" s="2" t="s">
        <v>2</v>
      </c>
      <c r="E133" s="2" t="s">
        <v>212</v>
      </c>
      <c r="F133" s="3">
        <v>120000</v>
      </c>
      <c r="G133" s="3"/>
    </row>
    <row r="134" spans="1:7" x14ac:dyDescent="0.3">
      <c r="A134" s="2">
        <v>10123</v>
      </c>
      <c r="B134" s="2" t="s">
        <v>213</v>
      </c>
      <c r="C134" s="2" t="s">
        <v>214</v>
      </c>
      <c r="D134" s="2" t="s">
        <v>21</v>
      </c>
      <c r="E134" s="2" t="s">
        <v>212</v>
      </c>
      <c r="F134" s="3">
        <v>24000</v>
      </c>
      <c r="G134" s="3"/>
    </row>
    <row r="135" spans="1:7" x14ac:dyDescent="0.3">
      <c r="A135" s="2">
        <v>10124</v>
      </c>
      <c r="B135" s="2" t="s">
        <v>215</v>
      </c>
      <c r="C135" s="2" t="s">
        <v>216</v>
      </c>
      <c r="D135" s="2" t="s">
        <v>21</v>
      </c>
      <c r="E135" s="2" t="s">
        <v>212</v>
      </c>
      <c r="F135" s="3">
        <v>60000</v>
      </c>
      <c r="G135" s="3"/>
    </row>
    <row r="136" spans="1:7" x14ac:dyDescent="0.3">
      <c r="A136" s="2">
        <v>10125</v>
      </c>
      <c r="B136" s="2" t="s">
        <v>217</v>
      </c>
      <c r="C136" s="2" t="s">
        <v>218</v>
      </c>
      <c r="D136" s="2" t="s">
        <v>9</v>
      </c>
      <c r="E136" s="2" t="s">
        <v>3</v>
      </c>
      <c r="F136" s="3">
        <v>69000</v>
      </c>
      <c r="G136" s="3"/>
    </row>
    <row r="137" spans="1:7" x14ac:dyDescent="0.3">
      <c r="A137" s="2">
        <v>10126</v>
      </c>
      <c r="B137" s="2" t="s">
        <v>65</v>
      </c>
      <c r="C137" s="2" t="s">
        <v>218</v>
      </c>
      <c r="D137" s="2" t="s">
        <v>9</v>
      </c>
      <c r="E137" s="2" t="s">
        <v>3</v>
      </c>
      <c r="F137" s="3">
        <v>63000</v>
      </c>
      <c r="G137" s="3"/>
    </row>
    <row r="138" spans="1:7" x14ac:dyDescent="0.3">
      <c r="A138" s="2">
        <v>10127</v>
      </c>
      <c r="B138" s="2" t="s">
        <v>219</v>
      </c>
      <c r="C138" s="2" t="s">
        <v>220</v>
      </c>
      <c r="D138" s="2" t="s">
        <v>2</v>
      </c>
      <c r="E138" s="2" t="s">
        <v>221</v>
      </c>
      <c r="F138" s="3">
        <v>120000</v>
      </c>
      <c r="G138" s="3"/>
    </row>
    <row r="139" spans="1:7" x14ac:dyDescent="0.3">
      <c r="A139" s="2">
        <v>10128</v>
      </c>
      <c r="B139" s="2" t="s">
        <v>136</v>
      </c>
      <c r="C139" s="2" t="s">
        <v>222</v>
      </c>
      <c r="D139" s="2" t="s">
        <v>21</v>
      </c>
      <c r="E139" s="2" t="s">
        <v>221</v>
      </c>
      <c r="F139" s="3">
        <v>27000</v>
      </c>
      <c r="G139" s="3"/>
    </row>
    <row r="140" spans="1:7" x14ac:dyDescent="0.3">
      <c r="A140" s="2">
        <v>10129</v>
      </c>
      <c r="B140" s="2" t="s">
        <v>223</v>
      </c>
      <c r="C140" s="2" t="s">
        <v>224</v>
      </c>
      <c r="D140" s="2" t="s">
        <v>21</v>
      </c>
      <c r="E140" s="2" t="s">
        <v>221</v>
      </c>
      <c r="F140" s="3">
        <v>25000</v>
      </c>
      <c r="G140" s="3"/>
    </row>
    <row r="141" spans="1:7" x14ac:dyDescent="0.3">
      <c r="A141" s="2">
        <v>10130</v>
      </c>
      <c r="B141" s="2" t="s">
        <v>223</v>
      </c>
      <c r="C141" s="2" t="s">
        <v>225</v>
      </c>
      <c r="D141" s="2" t="s">
        <v>21</v>
      </c>
      <c r="E141" s="2" t="s">
        <v>221</v>
      </c>
      <c r="F141" s="3">
        <v>35000</v>
      </c>
      <c r="G141" s="3"/>
    </row>
    <row r="142" spans="1:7" x14ac:dyDescent="0.3">
      <c r="A142" s="2">
        <v>10131</v>
      </c>
      <c r="B142" s="2" t="s">
        <v>226</v>
      </c>
      <c r="C142" s="2" t="s">
        <v>227</v>
      </c>
      <c r="D142" s="2" t="s">
        <v>21</v>
      </c>
      <c r="E142" s="2" t="s">
        <v>221</v>
      </c>
      <c r="F142" s="3">
        <v>35000</v>
      </c>
      <c r="G142" s="3"/>
    </row>
    <row r="143" spans="1:7" x14ac:dyDescent="0.3">
      <c r="A143" s="2">
        <v>20101</v>
      </c>
      <c r="B143" s="2" t="s">
        <v>12</v>
      </c>
      <c r="C143" s="2" t="s">
        <v>218</v>
      </c>
      <c r="D143" s="2" t="s">
        <v>9</v>
      </c>
      <c r="E143" s="2" t="s">
        <v>3</v>
      </c>
      <c r="F143" s="3">
        <v>58000</v>
      </c>
      <c r="G143" s="3"/>
    </row>
    <row r="144" spans="1:7" x14ac:dyDescent="0.3">
      <c r="A144" s="2">
        <v>20102</v>
      </c>
      <c r="B144" s="2" t="s">
        <v>228</v>
      </c>
      <c r="C144" s="2" t="s">
        <v>43</v>
      </c>
      <c r="D144" s="2" t="s">
        <v>9</v>
      </c>
      <c r="E144" s="2" t="s">
        <v>3</v>
      </c>
      <c r="F144" s="3">
        <v>60000</v>
      </c>
      <c r="G144" s="3"/>
    </row>
    <row r="145" spans="1:7" x14ac:dyDescent="0.3">
      <c r="A145" s="2">
        <v>20103</v>
      </c>
      <c r="B145" s="2" t="s">
        <v>229</v>
      </c>
      <c r="C145" s="2" t="s">
        <v>203</v>
      </c>
      <c r="D145" s="2" t="s">
        <v>2</v>
      </c>
      <c r="E145" s="2" t="s">
        <v>230</v>
      </c>
      <c r="F145" s="3">
        <v>111000</v>
      </c>
      <c r="G145" s="3"/>
    </row>
    <row r="146" spans="1:7" x14ac:dyDescent="0.3">
      <c r="A146" s="2">
        <v>20104</v>
      </c>
      <c r="B146" s="2" t="s">
        <v>231</v>
      </c>
      <c r="C146" s="2" t="s">
        <v>220</v>
      </c>
      <c r="D146" s="2" t="s">
        <v>21</v>
      </c>
      <c r="E146" s="2" t="s">
        <v>230</v>
      </c>
      <c r="F146" s="3">
        <v>45000</v>
      </c>
      <c r="G146" s="3"/>
    </row>
    <row r="147" spans="1:7" x14ac:dyDescent="0.3">
      <c r="A147" s="2">
        <v>20105</v>
      </c>
      <c r="B147" s="2" t="s">
        <v>232</v>
      </c>
      <c r="C147" s="2" t="s">
        <v>128</v>
      </c>
      <c r="D147" s="2" t="s">
        <v>21</v>
      </c>
      <c r="E147" s="2" t="s">
        <v>230</v>
      </c>
      <c r="F147" s="3">
        <v>45000</v>
      </c>
      <c r="G147" s="3"/>
    </row>
    <row r="148" spans="1:7" x14ac:dyDescent="0.3">
      <c r="A148" s="2">
        <v>20106</v>
      </c>
      <c r="B148" s="2" t="s">
        <v>233</v>
      </c>
      <c r="C148" s="2" t="s">
        <v>120</v>
      </c>
      <c r="D148" s="2" t="s">
        <v>45</v>
      </c>
      <c r="E148" s="2" t="s">
        <v>111</v>
      </c>
      <c r="F148" s="3">
        <v>68000</v>
      </c>
      <c r="G148" s="3"/>
    </row>
    <row r="149" spans="1:7" x14ac:dyDescent="0.3">
      <c r="A149" s="2">
        <v>20107</v>
      </c>
      <c r="B149" s="2" t="s">
        <v>202</v>
      </c>
      <c r="C149" s="2" t="s">
        <v>234</v>
      </c>
      <c r="D149" s="2" t="s">
        <v>2</v>
      </c>
      <c r="E149" s="2" t="s">
        <v>235</v>
      </c>
      <c r="F149" s="3">
        <v>110000</v>
      </c>
      <c r="G149" s="3">
        <v>10000</v>
      </c>
    </row>
    <row r="150" spans="1:7" x14ac:dyDescent="0.3">
      <c r="A150" s="2">
        <v>20108</v>
      </c>
      <c r="B150" s="2" t="s">
        <v>236</v>
      </c>
      <c r="C150" s="2" t="s">
        <v>237</v>
      </c>
      <c r="D150" s="2" t="s">
        <v>21</v>
      </c>
      <c r="E150" s="2" t="s">
        <v>235</v>
      </c>
      <c r="F150" s="3">
        <v>45000</v>
      </c>
      <c r="G150" s="3">
        <v>10000</v>
      </c>
    </row>
    <row r="151" spans="1:7" x14ac:dyDescent="0.3">
      <c r="A151" s="2">
        <v>20109</v>
      </c>
      <c r="B151" s="2" t="s">
        <v>79</v>
      </c>
      <c r="C151" s="2" t="s">
        <v>8</v>
      </c>
      <c r="D151" s="2" t="s">
        <v>21</v>
      </c>
      <c r="E151" s="2" t="s">
        <v>238</v>
      </c>
      <c r="F151" s="3">
        <v>34000</v>
      </c>
      <c r="G151" s="3"/>
    </row>
    <row r="152" spans="1:7" x14ac:dyDescent="0.3">
      <c r="A152" s="2">
        <v>20110</v>
      </c>
      <c r="B152" s="2" t="s">
        <v>7</v>
      </c>
      <c r="C152" s="2" t="s">
        <v>239</v>
      </c>
      <c r="D152" s="2" t="s">
        <v>21</v>
      </c>
      <c r="E152" s="2" t="s">
        <v>238</v>
      </c>
      <c r="F152" s="3">
        <v>57000</v>
      </c>
      <c r="G152" s="3"/>
    </row>
    <row r="153" spans="1:7" x14ac:dyDescent="0.3">
      <c r="A153" s="2">
        <v>20111</v>
      </c>
      <c r="B153" s="2" t="s">
        <v>240</v>
      </c>
      <c r="C153" s="2" t="s">
        <v>241</v>
      </c>
      <c r="D153" s="2" t="s">
        <v>21</v>
      </c>
      <c r="E153" s="2" t="s">
        <v>238</v>
      </c>
      <c r="F153" s="3">
        <v>45000</v>
      </c>
      <c r="G153" s="3"/>
    </row>
    <row r="154" spans="1:7" x14ac:dyDescent="0.3">
      <c r="A154" s="2">
        <v>20112</v>
      </c>
      <c r="B154" s="2" t="s">
        <v>242</v>
      </c>
      <c r="C154" s="2" t="s">
        <v>243</v>
      </c>
      <c r="D154" s="2" t="s">
        <v>2</v>
      </c>
      <c r="E154" s="2" t="s">
        <v>238</v>
      </c>
      <c r="F154" s="3">
        <v>130000</v>
      </c>
      <c r="G154" s="3"/>
    </row>
    <row r="155" spans="1:7" x14ac:dyDescent="0.3">
      <c r="A155" s="2">
        <v>20113</v>
      </c>
      <c r="B155" s="2" t="s">
        <v>244</v>
      </c>
      <c r="C155" s="2" t="s">
        <v>84</v>
      </c>
      <c r="D155" s="2" t="s">
        <v>21</v>
      </c>
      <c r="E155" s="2" t="s">
        <v>238</v>
      </c>
      <c r="F155" s="3">
        <v>45000</v>
      </c>
      <c r="G155" s="3"/>
    </row>
    <row r="156" spans="1:7" x14ac:dyDescent="0.3">
      <c r="A156" s="2">
        <v>20114</v>
      </c>
      <c r="B156" s="2" t="s">
        <v>245</v>
      </c>
      <c r="C156" s="2" t="s">
        <v>77</v>
      </c>
      <c r="D156" s="2" t="s">
        <v>21</v>
      </c>
      <c r="E156" s="2" t="s">
        <v>238</v>
      </c>
      <c r="F156" s="3">
        <v>41000</v>
      </c>
      <c r="G156" s="3"/>
    </row>
    <row r="157" spans="1:7" x14ac:dyDescent="0.3">
      <c r="A157" s="2">
        <v>20115</v>
      </c>
      <c r="B157" s="2" t="s">
        <v>246</v>
      </c>
      <c r="C157" s="2" t="s">
        <v>247</v>
      </c>
      <c r="D157" s="2" t="s">
        <v>2</v>
      </c>
      <c r="E157" s="2" t="s">
        <v>248</v>
      </c>
      <c r="F157" s="3">
        <v>135000</v>
      </c>
      <c r="G157" s="3"/>
    </row>
    <row r="158" spans="1:7" x14ac:dyDescent="0.3">
      <c r="A158" s="2">
        <v>20116</v>
      </c>
      <c r="B158" s="2" t="s">
        <v>249</v>
      </c>
      <c r="C158" s="2" t="s">
        <v>42</v>
      </c>
      <c r="D158" s="2" t="s">
        <v>21</v>
      </c>
      <c r="E158" s="2" t="s">
        <v>248</v>
      </c>
      <c r="F158" s="3">
        <v>70000</v>
      </c>
      <c r="G158" s="3"/>
    </row>
    <row r="159" spans="1:7" x14ac:dyDescent="0.3">
      <c r="A159" s="2">
        <v>20117</v>
      </c>
      <c r="B159" s="2" t="s">
        <v>65</v>
      </c>
      <c r="C159" s="2" t="s">
        <v>23</v>
      </c>
      <c r="D159" s="2" t="s">
        <v>9</v>
      </c>
      <c r="E159" s="2" t="s">
        <v>3</v>
      </c>
      <c r="F159" s="3">
        <v>69000</v>
      </c>
      <c r="G159" s="3"/>
    </row>
    <row r="160" spans="1:7" x14ac:dyDescent="0.3">
      <c r="A160" s="2">
        <v>20118</v>
      </c>
      <c r="B160" s="2" t="s">
        <v>250</v>
      </c>
      <c r="C160" s="2" t="s">
        <v>120</v>
      </c>
      <c r="D160" s="2" t="s">
        <v>9</v>
      </c>
      <c r="E160" s="2" t="s">
        <v>107</v>
      </c>
      <c r="F160" s="3">
        <v>56000</v>
      </c>
      <c r="G160" s="3"/>
    </row>
    <row r="161" spans="1:7" x14ac:dyDescent="0.3">
      <c r="A161" s="2">
        <v>20119</v>
      </c>
      <c r="B161" s="2" t="s">
        <v>251</v>
      </c>
      <c r="C161" s="2" t="s">
        <v>252</v>
      </c>
      <c r="D161" s="2" t="s">
        <v>9</v>
      </c>
      <c r="E161" s="2" t="s">
        <v>107</v>
      </c>
      <c r="F161" s="3">
        <v>28000</v>
      </c>
      <c r="G161" s="3"/>
    </row>
    <row r="162" spans="1:7" x14ac:dyDescent="0.3">
      <c r="A162" s="2">
        <v>20120</v>
      </c>
      <c r="B162" s="2" t="s">
        <v>246</v>
      </c>
      <c r="C162" s="2" t="s">
        <v>247</v>
      </c>
      <c r="D162" s="2" t="s">
        <v>2</v>
      </c>
      <c r="E162" s="2" t="s">
        <v>248</v>
      </c>
      <c r="F162" s="3">
        <v>120000</v>
      </c>
      <c r="G162" s="3"/>
    </row>
    <row r="163" spans="1:7" x14ac:dyDescent="0.3">
      <c r="A163" s="2">
        <v>20121</v>
      </c>
      <c r="B163" s="2" t="s">
        <v>249</v>
      </c>
      <c r="C163" s="2" t="s">
        <v>42</v>
      </c>
      <c r="D163" s="2" t="s">
        <v>21</v>
      </c>
      <c r="E163" s="2" t="s">
        <v>248</v>
      </c>
      <c r="F163" s="3">
        <v>80000</v>
      </c>
      <c r="G163" s="3"/>
    </row>
    <row r="164" spans="1:7" x14ac:dyDescent="0.3">
      <c r="A164" s="2">
        <v>20122</v>
      </c>
      <c r="B164" s="2" t="s">
        <v>253</v>
      </c>
      <c r="C164" s="2" t="s">
        <v>237</v>
      </c>
      <c r="D164" s="2" t="s">
        <v>21</v>
      </c>
      <c r="E164" s="2" t="s">
        <v>235</v>
      </c>
      <c r="F164" s="3">
        <v>55000</v>
      </c>
      <c r="G164" s="3"/>
    </row>
    <row r="165" spans="1:7" x14ac:dyDescent="0.3">
      <c r="A165" s="2">
        <v>30021</v>
      </c>
      <c r="B165" s="2" t="s">
        <v>254</v>
      </c>
      <c r="C165" s="2" t="s">
        <v>34</v>
      </c>
      <c r="D165" s="2" t="s">
        <v>9</v>
      </c>
      <c r="E165" s="2" t="s">
        <v>111</v>
      </c>
      <c r="F165" s="3">
        <v>29000</v>
      </c>
      <c r="G165" s="3"/>
    </row>
    <row r="166" spans="1:7" x14ac:dyDescent="0.3">
      <c r="A166" s="2">
        <v>30022</v>
      </c>
      <c r="B166" s="2" t="s">
        <v>255</v>
      </c>
      <c r="C166" s="2" t="s">
        <v>122</v>
      </c>
      <c r="D166" s="2" t="s">
        <v>9</v>
      </c>
      <c r="E166" s="2" t="s">
        <v>111</v>
      </c>
      <c r="F166" s="3">
        <v>33000</v>
      </c>
      <c r="G166" s="3"/>
    </row>
    <row r="167" spans="1:7" x14ac:dyDescent="0.3">
      <c r="A167" s="2">
        <v>30023</v>
      </c>
      <c r="B167" s="2" t="s">
        <v>256</v>
      </c>
      <c r="C167" s="2" t="s">
        <v>34</v>
      </c>
      <c r="D167" s="2" t="s">
        <v>35</v>
      </c>
      <c r="E167" s="2" t="s">
        <v>111</v>
      </c>
      <c r="F167" s="3">
        <v>39000</v>
      </c>
      <c r="G167" s="3"/>
    </row>
    <row r="168" spans="1:7" x14ac:dyDescent="0.3">
      <c r="A168" s="2">
        <v>30024</v>
      </c>
      <c r="B168" s="2" t="s">
        <v>257</v>
      </c>
      <c r="C168" s="2" t="s">
        <v>201</v>
      </c>
      <c r="D168" s="2" t="s">
        <v>35</v>
      </c>
      <c r="E168" s="2" t="s">
        <v>111</v>
      </c>
      <c r="F168" s="3">
        <v>34000</v>
      </c>
      <c r="G168" s="3"/>
    </row>
    <row r="169" spans="1:7" x14ac:dyDescent="0.3">
      <c r="A169" s="2">
        <v>30025</v>
      </c>
      <c r="B169" s="2" t="s">
        <v>258</v>
      </c>
      <c r="C169" s="2" t="s">
        <v>171</v>
      </c>
      <c r="D169" s="2" t="s">
        <v>35</v>
      </c>
      <c r="E169" s="2" t="s">
        <v>111</v>
      </c>
      <c r="F169" s="3">
        <v>34000</v>
      </c>
      <c r="G169" s="3"/>
    </row>
    <row r="170" spans="1:7" x14ac:dyDescent="0.3">
      <c r="A170" s="2">
        <v>30026</v>
      </c>
      <c r="B170" s="2" t="s">
        <v>259</v>
      </c>
      <c r="C170" s="2" t="s">
        <v>122</v>
      </c>
      <c r="D170" s="2" t="s">
        <v>9</v>
      </c>
      <c r="E170" s="2" t="s">
        <v>111</v>
      </c>
      <c r="F170" s="3">
        <v>33000</v>
      </c>
      <c r="G170" s="3"/>
    </row>
    <row r="171" spans="1:7" x14ac:dyDescent="0.3">
      <c r="A171" s="2">
        <v>30027</v>
      </c>
      <c r="B171" s="2" t="s">
        <v>260</v>
      </c>
      <c r="C171" s="2" t="s">
        <v>175</v>
      </c>
      <c r="D171" s="2" t="s">
        <v>9</v>
      </c>
      <c r="E171" s="2" t="s">
        <v>3</v>
      </c>
      <c r="F171" s="3">
        <v>69000</v>
      </c>
      <c r="G171" s="3"/>
    </row>
    <row r="172" spans="1:7" x14ac:dyDescent="0.3">
      <c r="A172" s="2">
        <v>30028</v>
      </c>
      <c r="B172" s="2" t="s">
        <v>261</v>
      </c>
      <c r="C172" s="2" t="s">
        <v>173</v>
      </c>
      <c r="D172" s="2" t="s">
        <v>9</v>
      </c>
      <c r="E172" s="2" t="s">
        <v>3</v>
      </c>
      <c r="F172" s="3">
        <v>56000</v>
      </c>
      <c r="G172" s="3"/>
    </row>
    <row r="173" spans="1:7" x14ac:dyDescent="0.3">
      <c r="A173" s="2">
        <v>30029</v>
      </c>
      <c r="B173" s="2" t="s">
        <v>262</v>
      </c>
      <c r="C173" s="2" t="s">
        <v>263</v>
      </c>
      <c r="D173" s="2" t="s">
        <v>9</v>
      </c>
      <c r="E173" s="2" t="s">
        <v>111</v>
      </c>
      <c r="F173" s="3">
        <v>33000</v>
      </c>
      <c r="G173" s="3"/>
    </row>
    <row r="174" spans="1:7" x14ac:dyDescent="0.3">
      <c r="A174" s="2">
        <v>30030</v>
      </c>
      <c r="B174" s="2" t="s">
        <v>264</v>
      </c>
      <c r="C174" s="2" t="s">
        <v>116</v>
      </c>
      <c r="D174" s="2" t="s">
        <v>9</v>
      </c>
      <c r="E174" s="2" t="s">
        <v>111</v>
      </c>
      <c r="F174" s="3">
        <v>34000</v>
      </c>
      <c r="G174" s="3">
        <v>2000</v>
      </c>
    </row>
    <row r="175" spans="1:7" x14ac:dyDescent="0.3">
      <c r="A175" s="2">
        <v>20221</v>
      </c>
      <c r="B175" s="2" t="s">
        <v>265</v>
      </c>
      <c r="C175" s="2" t="s">
        <v>189</v>
      </c>
      <c r="D175" s="2" t="s">
        <v>9</v>
      </c>
      <c r="E175" s="2" t="s">
        <v>3</v>
      </c>
      <c r="F175" s="3">
        <v>69000</v>
      </c>
      <c r="G175" s="3"/>
    </row>
    <row r="176" spans="1:7" x14ac:dyDescent="0.3">
      <c r="A176" s="2">
        <v>20222</v>
      </c>
      <c r="B176" s="2" t="s">
        <v>266</v>
      </c>
      <c r="C176" s="2" t="s">
        <v>175</v>
      </c>
      <c r="D176" s="2" t="s">
        <v>9</v>
      </c>
      <c r="E176" s="2" t="s">
        <v>3</v>
      </c>
      <c r="F176" s="3">
        <v>70000</v>
      </c>
      <c r="G176" s="3"/>
    </row>
    <row r="177" spans="1:7" x14ac:dyDescent="0.3">
      <c r="A177" s="2">
        <v>20223</v>
      </c>
      <c r="B177" s="2" t="s">
        <v>267</v>
      </c>
      <c r="C177" s="2" t="s">
        <v>173</v>
      </c>
      <c r="D177" s="2" t="s">
        <v>9</v>
      </c>
      <c r="E177" s="2" t="s">
        <v>3</v>
      </c>
      <c r="F177" s="3">
        <v>71000</v>
      </c>
      <c r="G177" s="3"/>
    </row>
    <row r="178" spans="1:7" x14ac:dyDescent="0.3">
      <c r="A178" s="2">
        <v>20224</v>
      </c>
      <c r="B178" s="2" t="s">
        <v>268</v>
      </c>
      <c r="C178" s="2" t="s">
        <v>269</v>
      </c>
      <c r="D178" s="2" t="s">
        <v>9</v>
      </c>
      <c r="E178" s="2" t="s">
        <v>3</v>
      </c>
      <c r="F178" s="3">
        <v>56000</v>
      </c>
      <c r="G178" s="3"/>
    </row>
    <row r="179" spans="1:7" x14ac:dyDescent="0.3">
      <c r="A179" s="2">
        <v>20225</v>
      </c>
      <c r="B179" s="2" t="s">
        <v>270</v>
      </c>
      <c r="C179" s="2" t="s">
        <v>175</v>
      </c>
      <c r="D179" s="2" t="s">
        <v>9</v>
      </c>
      <c r="E179" s="2" t="s">
        <v>3</v>
      </c>
      <c r="F179" s="3">
        <v>41000</v>
      </c>
      <c r="G179" s="3"/>
    </row>
    <row r="180" spans="1:7" x14ac:dyDescent="0.3">
      <c r="A180" s="2">
        <v>20226</v>
      </c>
      <c r="B180" s="2" t="s">
        <v>271</v>
      </c>
      <c r="C180" s="2" t="s">
        <v>272</v>
      </c>
      <c r="D180" s="2" t="s">
        <v>9</v>
      </c>
      <c r="E180" s="2" t="s">
        <v>3</v>
      </c>
      <c r="F180" s="3">
        <v>74000</v>
      </c>
      <c r="G180" s="3">
        <v>3000</v>
      </c>
    </row>
    <row r="181" spans="1:7" x14ac:dyDescent="0.3">
      <c r="A181" s="2">
        <v>20227</v>
      </c>
      <c r="B181" s="2" t="s">
        <v>41</v>
      </c>
      <c r="C181" s="2" t="s">
        <v>42</v>
      </c>
      <c r="D181" s="2" t="s">
        <v>21</v>
      </c>
      <c r="E181" s="2" t="s">
        <v>248</v>
      </c>
      <c r="F181" s="3">
        <v>60000</v>
      </c>
      <c r="G181" s="3"/>
    </row>
    <row r="182" spans="1:7" x14ac:dyDescent="0.3">
      <c r="A182" s="2">
        <v>20228</v>
      </c>
      <c r="B182" s="2" t="s">
        <v>273</v>
      </c>
      <c r="C182" s="2" t="s">
        <v>274</v>
      </c>
      <c r="D182" s="2" t="s">
        <v>49</v>
      </c>
      <c r="E182" s="2" t="s">
        <v>111</v>
      </c>
      <c r="F182" s="3">
        <v>43000</v>
      </c>
      <c r="G182" s="3"/>
    </row>
    <row r="183" spans="1:7" x14ac:dyDescent="0.3">
      <c r="A183" s="2">
        <v>20229</v>
      </c>
      <c r="B183" s="2" t="s">
        <v>270</v>
      </c>
      <c r="C183" s="2" t="s">
        <v>275</v>
      </c>
      <c r="D183" s="2" t="s">
        <v>9</v>
      </c>
      <c r="E183" s="2" t="s">
        <v>3</v>
      </c>
      <c r="F183" s="3">
        <v>45000</v>
      </c>
      <c r="G183" s="3"/>
    </row>
    <row r="184" spans="1:7" x14ac:dyDescent="0.3">
      <c r="A184" s="2">
        <v>20230</v>
      </c>
      <c r="B184" s="2" t="s">
        <v>271</v>
      </c>
      <c r="C184" s="2" t="s">
        <v>276</v>
      </c>
      <c r="D184" s="2" t="s">
        <v>9</v>
      </c>
      <c r="E184" s="2" t="s">
        <v>3</v>
      </c>
      <c r="F184" s="3">
        <v>46000</v>
      </c>
      <c r="G184" s="3"/>
    </row>
    <row r="185" spans="1:7" x14ac:dyDescent="0.3">
      <c r="A185" s="2">
        <v>90129</v>
      </c>
      <c r="B185" s="2" t="s">
        <v>22</v>
      </c>
      <c r="C185" s="2" t="s">
        <v>277</v>
      </c>
      <c r="D185" s="2" t="s">
        <v>9</v>
      </c>
      <c r="E185" s="2" t="s">
        <v>3</v>
      </c>
      <c r="F185" s="3">
        <v>55000</v>
      </c>
      <c r="G185" s="3"/>
    </row>
    <row r="186" spans="1:7" x14ac:dyDescent="0.3">
      <c r="A186" s="2">
        <v>90130</v>
      </c>
      <c r="B186" s="2" t="s">
        <v>278</v>
      </c>
      <c r="C186" s="2" t="s">
        <v>227</v>
      </c>
      <c r="D186" s="2" t="s">
        <v>21</v>
      </c>
      <c r="E186" s="2" t="s">
        <v>221</v>
      </c>
      <c r="F186" s="3">
        <v>25000</v>
      </c>
      <c r="G186" s="3"/>
    </row>
    <row r="187" spans="1:7" x14ac:dyDescent="0.3">
      <c r="A187" s="2">
        <v>90131</v>
      </c>
      <c r="B187" s="2" t="s">
        <v>245</v>
      </c>
      <c r="C187" s="2" t="s">
        <v>279</v>
      </c>
      <c r="D187" s="2" t="s">
        <v>21</v>
      </c>
      <c r="E187" s="2" t="s">
        <v>238</v>
      </c>
      <c r="F187" s="3">
        <v>35000</v>
      </c>
      <c r="G187" s="3"/>
    </row>
    <row r="188" spans="1:7" x14ac:dyDescent="0.3">
      <c r="A188" s="2">
        <v>90132</v>
      </c>
      <c r="B188" s="2" t="s">
        <v>280</v>
      </c>
      <c r="C188" s="2" t="s">
        <v>281</v>
      </c>
      <c r="D188" s="2" t="s">
        <v>2</v>
      </c>
      <c r="E188" s="2" t="s">
        <v>282</v>
      </c>
      <c r="F188" s="3">
        <v>145000</v>
      </c>
      <c r="G188" s="3">
        <v>15000</v>
      </c>
    </row>
    <row r="189" spans="1:7" x14ac:dyDescent="0.3">
      <c r="A189" s="2">
        <v>90133</v>
      </c>
      <c r="B189" s="2" t="s">
        <v>283</v>
      </c>
      <c r="C189" s="2" t="s">
        <v>284</v>
      </c>
      <c r="D189" s="2" t="s">
        <v>21</v>
      </c>
      <c r="E189" s="2" t="s">
        <v>282</v>
      </c>
      <c r="F189" s="3">
        <v>45000</v>
      </c>
      <c r="G189" s="3"/>
    </row>
    <row r="190" spans="1:7" x14ac:dyDescent="0.3">
      <c r="A190" s="2">
        <v>90134</v>
      </c>
      <c r="B190" s="2" t="s">
        <v>285</v>
      </c>
      <c r="C190" s="2" t="s">
        <v>286</v>
      </c>
      <c r="D190" s="2" t="s">
        <v>21</v>
      </c>
      <c r="E190" s="2" t="s">
        <v>282</v>
      </c>
      <c r="F190" s="3">
        <v>40000</v>
      </c>
      <c r="G190" s="3"/>
    </row>
    <row r="191" spans="1:7" x14ac:dyDescent="0.3">
      <c r="A191" s="2">
        <v>90135</v>
      </c>
      <c r="B191" s="2" t="s">
        <v>287</v>
      </c>
      <c r="C191" s="2" t="s">
        <v>288</v>
      </c>
      <c r="D191" s="2" t="s">
        <v>2</v>
      </c>
      <c r="E191" s="2" t="s">
        <v>289</v>
      </c>
      <c r="F191" s="3">
        <v>125000</v>
      </c>
      <c r="G191" s="3">
        <v>25000</v>
      </c>
    </row>
    <row r="192" spans="1:7" x14ac:dyDescent="0.3">
      <c r="A192" s="2">
        <v>90136</v>
      </c>
      <c r="B192" s="2" t="s">
        <v>290</v>
      </c>
      <c r="C192" s="2" t="s">
        <v>291</v>
      </c>
      <c r="D192" s="2" t="s">
        <v>21</v>
      </c>
      <c r="E192" s="2" t="s">
        <v>289</v>
      </c>
      <c r="F192" s="3">
        <v>60000</v>
      </c>
      <c r="G192" s="3">
        <v>5000</v>
      </c>
    </row>
    <row r="193" spans="1:7" x14ac:dyDescent="0.3">
      <c r="A193" s="2">
        <v>90137</v>
      </c>
      <c r="B193" s="2" t="s">
        <v>292</v>
      </c>
      <c r="C193" s="2" t="s">
        <v>293</v>
      </c>
      <c r="D193" s="2" t="s">
        <v>21</v>
      </c>
      <c r="E193" s="2" t="s">
        <v>289</v>
      </c>
      <c r="F193" s="3">
        <v>60000</v>
      </c>
      <c r="G193" s="3">
        <v>5000</v>
      </c>
    </row>
    <row r="194" spans="1:7" x14ac:dyDescent="0.3">
      <c r="A194" s="2">
        <v>90138</v>
      </c>
      <c r="B194" s="2" t="s">
        <v>57</v>
      </c>
      <c r="C194" s="2" t="s">
        <v>277</v>
      </c>
      <c r="D194" s="2" t="s">
        <v>9</v>
      </c>
      <c r="E194" s="2" t="s">
        <v>3</v>
      </c>
      <c r="F194" s="3">
        <v>45000</v>
      </c>
      <c r="G194" s="3"/>
    </row>
    <row r="195" spans="1:7" x14ac:dyDescent="0.3">
      <c r="A195" s="2">
        <v>90139</v>
      </c>
      <c r="B195" s="2" t="s">
        <v>294</v>
      </c>
      <c r="C195" s="2" t="s">
        <v>97</v>
      </c>
      <c r="D195" s="2" t="s">
        <v>2</v>
      </c>
      <c r="E195" s="2" t="s">
        <v>295</v>
      </c>
      <c r="F195" s="3">
        <v>155000</v>
      </c>
      <c r="G195" s="3">
        <v>30000</v>
      </c>
    </row>
    <row r="196" spans="1:7" x14ac:dyDescent="0.3">
      <c r="A196" s="2">
        <v>90140</v>
      </c>
      <c r="B196" s="2" t="s">
        <v>296</v>
      </c>
      <c r="C196" s="2" t="s">
        <v>293</v>
      </c>
      <c r="D196" s="2" t="s">
        <v>21</v>
      </c>
      <c r="E196" s="2" t="s">
        <v>295</v>
      </c>
      <c r="F196" s="3">
        <v>91000</v>
      </c>
      <c r="G196" s="3"/>
    </row>
    <row r="197" spans="1:7" x14ac:dyDescent="0.3">
      <c r="A197" s="2">
        <v>90141</v>
      </c>
      <c r="B197" s="2" t="s">
        <v>297</v>
      </c>
      <c r="C197" s="2" t="s">
        <v>298</v>
      </c>
      <c r="D197" s="2" t="s">
        <v>2</v>
      </c>
      <c r="E197" s="2" t="s">
        <v>299</v>
      </c>
      <c r="F197" s="3">
        <v>190000</v>
      </c>
      <c r="G197" s="3"/>
    </row>
    <row r="198" spans="1:7" x14ac:dyDescent="0.3">
      <c r="A198" s="2">
        <v>90142</v>
      </c>
      <c r="B198" s="2" t="s">
        <v>300</v>
      </c>
      <c r="C198" s="2" t="s">
        <v>301</v>
      </c>
      <c r="D198" s="2" t="s">
        <v>21</v>
      </c>
      <c r="E198" s="2" t="s">
        <v>299</v>
      </c>
      <c r="F198" s="3">
        <v>110000</v>
      </c>
      <c r="G198" s="3"/>
    </row>
    <row r="199" spans="1:7" x14ac:dyDescent="0.3">
      <c r="A199" s="2">
        <v>90143</v>
      </c>
      <c r="B199" s="2" t="s">
        <v>302</v>
      </c>
      <c r="C199" s="2" t="s">
        <v>303</v>
      </c>
      <c r="D199" s="2" t="s">
        <v>49</v>
      </c>
      <c r="E199" s="2" t="s">
        <v>111</v>
      </c>
      <c r="F199" s="3">
        <v>41000</v>
      </c>
      <c r="G199" s="3"/>
    </row>
    <row r="200" spans="1:7" x14ac:dyDescent="0.3">
      <c r="A200" s="2">
        <v>90144</v>
      </c>
      <c r="B200" s="2" t="s">
        <v>304</v>
      </c>
      <c r="C200" s="2" t="s">
        <v>305</v>
      </c>
      <c r="D200" s="2" t="s">
        <v>45</v>
      </c>
      <c r="E200" s="2" t="s">
        <v>111</v>
      </c>
      <c r="F200" s="3">
        <v>87000</v>
      </c>
      <c r="G200" s="3"/>
    </row>
    <row r="201" spans="1:7" x14ac:dyDescent="0.3">
      <c r="A201" s="2">
        <v>90145</v>
      </c>
      <c r="B201" s="2" t="s">
        <v>306</v>
      </c>
      <c r="C201" s="2" t="s">
        <v>34</v>
      </c>
      <c r="D201" s="2" t="s">
        <v>9</v>
      </c>
      <c r="E201" s="2" t="s">
        <v>3</v>
      </c>
      <c r="F201" s="3">
        <v>45000</v>
      </c>
      <c r="G201" s="3"/>
    </row>
    <row r="202" spans="1:7" x14ac:dyDescent="0.3">
      <c r="A202" s="2">
        <v>90146</v>
      </c>
      <c r="B202" s="2" t="s">
        <v>57</v>
      </c>
      <c r="C202" s="2" t="s">
        <v>307</v>
      </c>
      <c r="D202" s="2" t="s">
        <v>45</v>
      </c>
      <c r="E202" s="2" t="s">
        <v>3</v>
      </c>
      <c r="F202" s="3">
        <v>80000</v>
      </c>
      <c r="G202" s="3"/>
    </row>
    <row r="203" spans="1:7" x14ac:dyDescent="0.3">
      <c r="A203" s="2">
        <v>90147</v>
      </c>
      <c r="B203" s="2" t="s">
        <v>308</v>
      </c>
      <c r="C203" s="2" t="s">
        <v>43</v>
      </c>
      <c r="D203" s="2" t="s">
        <v>9</v>
      </c>
      <c r="E203" s="2" t="s">
        <v>3</v>
      </c>
      <c r="F203" s="3">
        <v>31000</v>
      </c>
      <c r="G203" s="3"/>
    </row>
    <row r="204" spans="1:7" x14ac:dyDescent="0.3">
      <c r="A204" s="2">
        <v>70148</v>
      </c>
      <c r="B204" s="2" t="s">
        <v>309</v>
      </c>
      <c r="C204" s="2" t="s">
        <v>310</v>
      </c>
      <c r="D204" s="2" t="s">
        <v>2</v>
      </c>
      <c r="E204" s="2" t="s">
        <v>311</v>
      </c>
      <c r="F204" s="3">
        <v>110000</v>
      </c>
      <c r="G204" s="3"/>
    </row>
    <row r="205" spans="1:7" x14ac:dyDescent="0.3">
      <c r="A205" s="2">
        <v>70149</v>
      </c>
      <c r="B205" s="2" t="s">
        <v>7</v>
      </c>
      <c r="C205" s="2" t="s">
        <v>312</v>
      </c>
      <c r="D205" s="2" t="s">
        <v>21</v>
      </c>
      <c r="E205" s="2" t="s">
        <v>311</v>
      </c>
      <c r="F205" s="3">
        <v>45000</v>
      </c>
      <c r="G205" s="3"/>
    </row>
    <row r="206" spans="1:7" x14ac:dyDescent="0.3">
      <c r="A206" s="2">
        <v>70150</v>
      </c>
      <c r="B206" s="2" t="s">
        <v>313</v>
      </c>
      <c r="C206" s="2" t="s">
        <v>314</v>
      </c>
      <c r="D206" s="2" t="s">
        <v>49</v>
      </c>
      <c r="E206" s="2" t="s">
        <v>111</v>
      </c>
      <c r="F206" s="3">
        <v>27000</v>
      </c>
      <c r="G206" s="3"/>
    </row>
    <row r="207" spans="1:7" x14ac:dyDescent="0.3">
      <c r="A207" s="2">
        <v>70151</v>
      </c>
      <c r="B207" s="2" t="s">
        <v>308</v>
      </c>
      <c r="C207" s="2" t="s">
        <v>315</v>
      </c>
      <c r="D207" s="2" t="s">
        <v>9</v>
      </c>
      <c r="E207" s="2" t="s">
        <v>3</v>
      </c>
      <c r="F207" s="3">
        <v>31000</v>
      </c>
      <c r="G207" s="3"/>
    </row>
    <row r="208" spans="1:7" x14ac:dyDescent="0.3">
      <c r="A208" s="2">
        <v>70152</v>
      </c>
      <c r="B208" s="2" t="s">
        <v>316</v>
      </c>
      <c r="C208" s="2" t="s">
        <v>227</v>
      </c>
      <c r="D208" s="2" t="s">
        <v>21</v>
      </c>
      <c r="E208" s="2" t="s">
        <v>221</v>
      </c>
      <c r="F208" s="3">
        <v>25000</v>
      </c>
      <c r="G208" s="3"/>
    </row>
    <row r="209" spans="1:7" x14ac:dyDescent="0.3">
      <c r="A209" s="2">
        <v>70153</v>
      </c>
      <c r="B209" s="2" t="s">
        <v>19</v>
      </c>
      <c r="C209" s="2" t="s">
        <v>312</v>
      </c>
      <c r="D209" s="2" t="s">
        <v>21</v>
      </c>
      <c r="E209" s="2" t="s">
        <v>311</v>
      </c>
      <c r="F209" s="3">
        <v>51000</v>
      </c>
      <c r="G209" s="3"/>
    </row>
    <row r="210" spans="1:7" x14ac:dyDescent="0.3">
      <c r="A210" s="2">
        <v>70154</v>
      </c>
      <c r="B210" s="2" t="s">
        <v>22</v>
      </c>
      <c r="C210" s="2" t="s">
        <v>317</v>
      </c>
      <c r="D210" s="2" t="s">
        <v>9</v>
      </c>
      <c r="E210" s="2" t="s">
        <v>3</v>
      </c>
      <c r="F210" s="3">
        <v>31000</v>
      </c>
      <c r="G210" s="3"/>
    </row>
    <row r="211" spans="1:7" x14ac:dyDescent="0.3">
      <c r="A211" s="2">
        <v>70155</v>
      </c>
      <c r="B211" s="2" t="s">
        <v>318</v>
      </c>
      <c r="C211" s="2" t="s">
        <v>319</v>
      </c>
      <c r="D211" s="2" t="s">
        <v>2</v>
      </c>
      <c r="E211" s="2" t="s">
        <v>320</v>
      </c>
      <c r="F211" s="3">
        <v>250000</v>
      </c>
      <c r="G211" s="3">
        <v>50000</v>
      </c>
    </row>
    <row r="212" spans="1:7" x14ac:dyDescent="0.3">
      <c r="A212" s="2">
        <v>70156</v>
      </c>
      <c r="B212" s="2" t="s">
        <v>321</v>
      </c>
      <c r="C212" s="2" t="s">
        <v>13</v>
      </c>
      <c r="D212" s="2" t="s">
        <v>2</v>
      </c>
      <c r="E212" s="2" t="s">
        <v>322</v>
      </c>
      <c r="F212" s="3">
        <v>240000</v>
      </c>
      <c r="G212" s="3">
        <v>35000</v>
      </c>
    </row>
    <row r="213" spans="1:7" x14ac:dyDescent="0.3">
      <c r="A213" s="2">
        <v>70157</v>
      </c>
      <c r="B213" s="2" t="s">
        <v>323</v>
      </c>
      <c r="C213" s="2" t="s">
        <v>61</v>
      </c>
      <c r="D213" s="2" t="s">
        <v>21</v>
      </c>
      <c r="E213" s="2" t="s">
        <v>324</v>
      </c>
      <c r="F213" s="3">
        <v>25000</v>
      </c>
      <c r="G213" s="3"/>
    </row>
    <row r="214" spans="1:7" x14ac:dyDescent="0.3">
      <c r="A214" s="2">
        <v>70158</v>
      </c>
      <c r="B214" s="2" t="s">
        <v>325</v>
      </c>
      <c r="C214" s="2" t="s">
        <v>326</v>
      </c>
      <c r="D214" s="2" t="s">
        <v>21</v>
      </c>
      <c r="E214" s="2" t="s">
        <v>322</v>
      </c>
      <c r="F214" s="3">
        <v>29000</v>
      </c>
      <c r="G214" s="3"/>
    </row>
    <row r="215" spans="1:7" x14ac:dyDescent="0.3">
      <c r="A215" s="2">
        <v>70159</v>
      </c>
      <c r="B215" s="2" t="s">
        <v>327</v>
      </c>
      <c r="C215" s="2" t="s">
        <v>328</v>
      </c>
      <c r="D215" s="2" t="s">
        <v>21</v>
      </c>
      <c r="E215" s="2" t="s">
        <v>324</v>
      </c>
      <c r="F215" s="3">
        <v>31000</v>
      </c>
      <c r="G215" s="3"/>
    </row>
    <row r="216" spans="1:7" x14ac:dyDescent="0.3">
      <c r="A216" s="2">
        <v>70160</v>
      </c>
      <c r="B216" s="2" t="s">
        <v>329</v>
      </c>
      <c r="C216" s="2" t="s">
        <v>314</v>
      </c>
      <c r="D216" s="2" t="s">
        <v>49</v>
      </c>
      <c r="E216" s="2" t="s">
        <v>111</v>
      </c>
      <c r="F216" s="3">
        <v>77000</v>
      </c>
      <c r="G216" s="3"/>
    </row>
    <row r="217" spans="1:7" x14ac:dyDescent="0.3">
      <c r="A217" s="2">
        <v>70161</v>
      </c>
      <c r="B217" s="2" t="s">
        <v>330</v>
      </c>
      <c r="C217" s="2" t="s">
        <v>158</v>
      </c>
      <c r="D217" s="2" t="s">
        <v>36</v>
      </c>
      <c r="E217" s="2" t="s">
        <v>111</v>
      </c>
      <c r="F217" s="3">
        <v>27000</v>
      </c>
      <c r="G217" s="3">
        <v>1000</v>
      </c>
    </row>
    <row r="218" spans="1:7" x14ac:dyDescent="0.3">
      <c r="A218" s="2">
        <v>70162</v>
      </c>
      <c r="B218" s="2" t="s">
        <v>331</v>
      </c>
      <c r="C218" s="2" t="s">
        <v>332</v>
      </c>
      <c r="D218" s="2" t="s">
        <v>36</v>
      </c>
      <c r="E218" s="2" t="s">
        <v>324</v>
      </c>
      <c r="F218" s="3">
        <v>27000</v>
      </c>
      <c r="G218" s="3">
        <v>1000</v>
      </c>
    </row>
    <row r="219" spans="1:7" x14ac:dyDescent="0.3">
      <c r="A219" s="2">
        <v>70163</v>
      </c>
      <c r="B219" s="2" t="s">
        <v>333</v>
      </c>
      <c r="C219" s="2" t="s">
        <v>334</v>
      </c>
      <c r="D219" s="2" t="s">
        <v>36</v>
      </c>
      <c r="E219" s="2" t="s">
        <v>324</v>
      </c>
      <c r="F219" s="3">
        <v>29000</v>
      </c>
      <c r="G219" s="3"/>
    </row>
    <row r="220" spans="1:7" x14ac:dyDescent="0.3">
      <c r="A220" s="2">
        <v>70164</v>
      </c>
      <c r="B220" s="2" t="s">
        <v>333</v>
      </c>
      <c r="C220" s="2" t="s">
        <v>335</v>
      </c>
      <c r="D220" s="2" t="s">
        <v>2</v>
      </c>
      <c r="E220" s="2" t="s">
        <v>324</v>
      </c>
      <c r="F220" s="3">
        <v>240000</v>
      </c>
      <c r="G220" s="3">
        <v>35000</v>
      </c>
    </row>
    <row r="221" spans="1:7" x14ac:dyDescent="0.3">
      <c r="A221" s="2">
        <v>70165</v>
      </c>
      <c r="B221" s="2" t="s">
        <v>336</v>
      </c>
      <c r="C221" s="2" t="s">
        <v>337</v>
      </c>
      <c r="D221" s="2" t="s">
        <v>21</v>
      </c>
      <c r="E221" s="2" t="s">
        <v>324</v>
      </c>
      <c r="F221" s="3">
        <v>21000</v>
      </c>
      <c r="G221" s="3">
        <v>3000</v>
      </c>
    </row>
    <row r="222" spans="1:7" x14ac:dyDescent="0.3">
      <c r="A222" s="2">
        <v>70166</v>
      </c>
      <c r="B222" s="2" t="s">
        <v>338</v>
      </c>
      <c r="C222" s="2" t="s">
        <v>339</v>
      </c>
      <c r="D222" s="2" t="s">
        <v>49</v>
      </c>
      <c r="E222" s="2" t="s">
        <v>324</v>
      </c>
      <c r="F222" s="3">
        <v>21000</v>
      </c>
      <c r="G222" s="3">
        <v>5000</v>
      </c>
    </row>
    <row r="223" spans="1:7" x14ac:dyDescent="0.3">
      <c r="A223" s="2">
        <v>70167</v>
      </c>
      <c r="B223" s="2" t="s">
        <v>340</v>
      </c>
      <c r="C223" s="2" t="s">
        <v>341</v>
      </c>
      <c r="D223" s="2" t="s">
        <v>36</v>
      </c>
      <c r="E223" s="2" t="s">
        <v>324</v>
      </c>
      <c r="F223" s="3">
        <v>29000</v>
      </c>
      <c r="G223" s="3">
        <v>3000</v>
      </c>
    </row>
    <row r="224" spans="1:7" x14ac:dyDescent="0.3">
      <c r="A224" s="2">
        <v>70168</v>
      </c>
      <c r="B224" s="2" t="s">
        <v>342</v>
      </c>
      <c r="C224" s="2" t="s">
        <v>343</v>
      </c>
      <c r="D224" s="2" t="s">
        <v>36</v>
      </c>
      <c r="E224" s="2" t="s">
        <v>324</v>
      </c>
      <c r="F224" s="3">
        <v>21000</v>
      </c>
      <c r="G224" s="3">
        <v>5000</v>
      </c>
    </row>
    <row r="225" spans="1:7" x14ac:dyDescent="0.3">
      <c r="A225" s="2">
        <v>70169</v>
      </c>
      <c r="B225" s="2" t="s">
        <v>323</v>
      </c>
      <c r="C225" s="2" t="s">
        <v>344</v>
      </c>
      <c r="D225" s="2" t="s">
        <v>36</v>
      </c>
      <c r="E225" s="2" t="s">
        <v>324</v>
      </c>
      <c r="F225" s="3">
        <v>21000</v>
      </c>
      <c r="G225" s="3">
        <v>3000</v>
      </c>
    </row>
    <row r="226" spans="1:7" x14ac:dyDescent="0.3">
      <c r="A226" s="2">
        <v>50270</v>
      </c>
      <c r="B226" s="2" t="s">
        <v>258</v>
      </c>
      <c r="C226" s="2" t="s">
        <v>220</v>
      </c>
      <c r="D226" s="2" t="s">
        <v>36</v>
      </c>
      <c r="E226" s="2" t="s">
        <v>221</v>
      </c>
      <c r="F226" s="3">
        <v>27000</v>
      </c>
      <c r="G226" s="3"/>
    </row>
    <row r="227" spans="1:7" x14ac:dyDescent="0.3">
      <c r="A227" s="2">
        <v>50271</v>
      </c>
      <c r="B227" s="2" t="s">
        <v>345</v>
      </c>
      <c r="C227" s="2" t="s">
        <v>138</v>
      </c>
      <c r="D227" s="2" t="s">
        <v>36</v>
      </c>
      <c r="E227" s="2" t="s">
        <v>221</v>
      </c>
      <c r="F227" s="3">
        <v>29000</v>
      </c>
      <c r="G227" s="3"/>
    </row>
    <row r="228" spans="1:7" x14ac:dyDescent="0.3">
      <c r="A228" s="2">
        <v>50272</v>
      </c>
      <c r="B228" s="2" t="s">
        <v>342</v>
      </c>
      <c r="C228" s="2" t="s">
        <v>61</v>
      </c>
      <c r="D228" s="2" t="s">
        <v>2</v>
      </c>
      <c r="E228" s="2" t="s">
        <v>346</v>
      </c>
      <c r="F228" s="3">
        <v>210000</v>
      </c>
      <c r="G228" s="3">
        <v>5000</v>
      </c>
    </row>
    <row r="229" spans="1:7" x14ac:dyDescent="0.3">
      <c r="A229" s="2">
        <v>50273</v>
      </c>
      <c r="B229" s="2" t="s">
        <v>347</v>
      </c>
      <c r="C229" s="2" t="s">
        <v>348</v>
      </c>
      <c r="D229" s="2" t="s">
        <v>21</v>
      </c>
      <c r="E229" s="2" t="s">
        <v>346</v>
      </c>
      <c r="F229" s="3">
        <v>21000</v>
      </c>
      <c r="G229" s="3">
        <v>3000</v>
      </c>
    </row>
    <row r="230" spans="1:7" x14ac:dyDescent="0.3">
      <c r="A230" s="2">
        <v>50274</v>
      </c>
      <c r="B230" s="2" t="s">
        <v>349</v>
      </c>
      <c r="C230" s="2" t="s">
        <v>75</v>
      </c>
      <c r="D230" s="2" t="s">
        <v>36</v>
      </c>
      <c r="E230" s="2" t="s">
        <v>221</v>
      </c>
      <c r="F230" s="3">
        <v>31000</v>
      </c>
      <c r="G230" s="3"/>
    </row>
    <row r="231" spans="1:7" x14ac:dyDescent="0.3">
      <c r="A231" s="2">
        <v>50275</v>
      </c>
      <c r="B231" s="2" t="s">
        <v>350</v>
      </c>
      <c r="C231" s="2" t="s">
        <v>48</v>
      </c>
      <c r="D231" s="2" t="s">
        <v>36</v>
      </c>
      <c r="E231" s="2" t="s">
        <v>111</v>
      </c>
      <c r="F231" s="3">
        <v>27000</v>
      </c>
      <c r="G231" s="3">
        <v>1000</v>
      </c>
    </row>
    <row r="232" spans="1:7" x14ac:dyDescent="0.3">
      <c r="A232" s="2">
        <v>50276</v>
      </c>
      <c r="B232" s="2" t="s">
        <v>7</v>
      </c>
      <c r="C232" s="2" t="s">
        <v>68</v>
      </c>
      <c r="D232" s="2" t="s">
        <v>2</v>
      </c>
      <c r="E232" s="2" t="s">
        <v>351</v>
      </c>
      <c r="F232" s="3">
        <v>135000</v>
      </c>
      <c r="G232" s="3">
        <v>5000</v>
      </c>
    </row>
    <row r="233" spans="1:7" x14ac:dyDescent="0.3">
      <c r="A233" s="2">
        <v>50277</v>
      </c>
      <c r="B233" s="2" t="s">
        <v>7</v>
      </c>
      <c r="C233" s="2" t="s">
        <v>66</v>
      </c>
      <c r="D233" s="2" t="s">
        <v>21</v>
      </c>
      <c r="E233" s="2" t="s">
        <v>351</v>
      </c>
      <c r="F233" s="3">
        <v>35000</v>
      </c>
      <c r="G233" s="3">
        <v>5000</v>
      </c>
    </row>
    <row r="234" spans="1:7" x14ac:dyDescent="0.3">
      <c r="A234" s="2">
        <v>50278</v>
      </c>
      <c r="B234" s="2" t="s">
        <v>352</v>
      </c>
      <c r="C234" s="2" t="s">
        <v>314</v>
      </c>
      <c r="D234" s="2" t="s">
        <v>49</v>
      </c>
      <c r="E234" s="2" t="s">
        <v>111</v>
      </c>
      <c r="F234" s="3">
        <v>56000</v>
      </c>
      <c r="G234" s="3"/>
    </row>
    <row r="235" spans="1:7" x14ac:dyDescent="0.3">
      <c r="A235" s="2">
        <v>50279</v>
      </c>
      <c r="B235" s="2" t="s">
        <v>353</v>
      </c>
      <c r="C235" s="2" t="s">
        <v>354</v>
      </c>
      <c r="D235" s="2" t="s">
        <v>9</v>
      </c>
      <c r="E235" s="2" t="s">
        <v>3</v>
      </c>
      <c r="F235" s="3">
        <v>59000</v>
      </c>
      <c r="G235" s="3"/>
    </row>
  </sheetData>
  <autoFilter ref="A3:G235" xr:uid="{DB51A2EE-4F9D-4AD8-B94B-1438E48F9BF7}"/>
  <conditionalFormatting sqref="A3:F3 A4:D235 F4:F235">
    <cfRule type="containsText" dxfId="0" priority="3" operator="containsText" text="B01">
      <formula>NOT(ISERROR(SEARCH("B01",A3)))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C6C0-BC2A-4489-BDCA-0A535ED4A4F3}">
  <dimension ref="A2:O235"/>
  <sheetViews>
    <sheetView zoomScale="65" zoomScaleNormal="100" workbookViewId="0">
      <selection activeCell="O43" sqref="O43"/>
    </sheetView>
  </sheetViews>
  <sheetFormatPr defaultRowHeight="14.4" x14ac:dyDescent="0.3"/>
  <cols>
    <col min="2" max="2" width="22.33203125" customWidth="1"/>
    <col min="3" max="3" width="17.21875" customWidth="1"/>
    <col min="4" max="4" width="16.5546875" customWidth="1"/>
    <col min="5" max="5" width="14.5546875" bestFit="1" customWidth="1"/>
    <col min="11" max="11" width="31.88671875" bestFit="1" customWidth="1"/>
    <col min="12" max="12" width="15.21875" bestFit="1" customWidth="1"/>
    <col min="13" max="13" width="14.21875" bestFit="1" customWidth="1"/>
    <col min="14" max="14" width="35.21875" bestFit="1" customWidth="1"/>
  </cols>
  <sheetData>
    <row r="2" spans="1:14" x14ac:dyDescent="0.3">
      <c r="B2" t="s">
        <v>364</v>
      </c>
      <c r="C2" t="s">
        <v>363</v>
      </c>
      <c r="D2" t="s">
        <v>363</v>
      </c>
      <c r="E2" t="s">
        <v>368</v>
      </c>
      <c r="L2" s="7" t="s">
        <v>370</v>
      </c>
      <c r="M2" s="7" t="s">
        <v>370</v>
      </c>
      <c r="N2" s="7" t="s">
        <v>651</v>
      </c>
    </row>
    <row r="3" spans="1:14" x14ac:dyDescent="0.3">
      <c r="A3" s="9" t="s">
        <v>355</v>
      </c>
      <c r="B3" s="8" t="s">
        <v>361</v>
      </c>
      <c r="C3" s="8" t="s">
        <v>358</v>
      </c>
      <c r="D3" s="8" t="s">
        <v>362</v>
      </c>
      <c r="E3" s="8" t="s">
        <v>367</v>
      </c>
      <c r="K3" s="9" t="s">
        <v>366</v>
      </c>
      <c r="L3" s="10" t="s">
        <v>369</v>
      </c>
      <c r="M3" s="10" t="s">
        <v>372</v>
      </c>
      <c r="N3" s="10" t="s">
        <v>371</v>
      </c>
    </row>
    <row r="4" spans="1:14" x14ac:dyDescent="0.3">
      <c r="A4" s="8">
        <v>1</v>
      </c>
      <c r="B4" s="2" t="str">
        <f>_xlfn.CONCAT('Источник 1'!B4," ",'Источник 1'!C4)</f>
        <v>Miller Jennifer</v>
      </c>
      <c r="C4" s="2" t="str">
        <f>VLOOKUP('Источник 1'!A4,'Источник 1'!A4:G235, 4,0)</f>
        <v>Senior Manager</v>
      </c>
      <c r="D4" s="2" t="str">
        <f>VLOOKUP('Источник 1'!A4,'Источник 1'!A4:G235,5,0)</f>
        <v>B01</v>
      </c>
      <c r="E4" s="2" t="str">
        <f>IF('Источник 1'!G4&gt;0,"YES","NO")</f>
        <v>YES</v>
      </c>
      <c r="K4" s="9" t="s">
        <v>3</v>
      </c>
      <c r="L4" s="2">
        <f ca="1">SUMIF('Источник 1'!E4:F235,'Задания 1.1'!K4,'Источник 1'!F4:F235)</f>
        <v>5824000</v>
      </c>
      <c r="M4" s="2">
        <f ca="1">SUMIF('Источник 1'!E4:G235, 'Задания 1.1'!K4, 'Источник 1'!G4:G235)</f>
        <v>106000</v>
      </c>
      <c r="N4" s="2">
        <f t="shared" ref="N4:N34" si="0">COUNTIFS(D4:D235,K4,E4:E235,"YES")</f>
        <v>26</v>
      </c>
    </row>
    <row r="5" spans="1:14" x14ac:dyDescent="0.3">
      <c r="A5" s="8">
        <v>2</v>
      </c>
      <c r="B5" s="2" t="str">
        <f>_xlfn.CONCAT('Источник 1'!B5," ",'Источник 1'!C5)</f>
        <v>Rubin Thomas</v>
      </c>
      <c r="C5" s="2" t="str">
        <f>VLOOKUP('Источник 1'!A5,'Источник 1'!A5:G236, 4,0)</f>
        <v>Software Engineer</v>
      </c>
      <c r="D5" s="2" t="str">
        <f>VLOOKUP('Источник 1'!A5,'Источник 1'!A5:G236,5,0)</f>
        <v>B01</v>
      </c>
      <c r="E5" s="2" t="str">
        <f>IF('Источник 1'!G5&gt;0,"YES","NO")</f>
        <v>NO</v>
      </c>
      <c r="K5" s="9" t="s">
        <v>69</v>
      </c>
      <c r="L5" s="2">
        <f ca="1">SUMIF('Источник 1'!E4:F235,'Задания 1.1'!K5,'Источник 1'!F4:F235)</f>
        <v>427000</v>
      </c>
      <c r="M5" s="2">
        <f ca="1">SUMIF('Источник 1'!E5:G236, 'Задания 1.1'!K5, 'Источник 1'!G5:G236)</f>
        <v>28000</v>
      </c>
      <c r="N5" s="2">
        <f t="shared" si="0"/>
        <v>4</v>
      </c>
    </row>
    <row r="6" spans="1:14" x14ac:dyDescent="0.3">
      <c r="A6" s="8">
        <v>3</v>
      </c>
      <c r="B6" s="2" t="str">
        <f>_xlfn.CONCAT('Источник 1'!B6," ",'Источник 1'!C6)</f>
        <v>Smith Peter</v>
      </c>
      <c r="C6" s="2" t="str">
        <f>VLOOKUP('Источник 1'!A6,'Источник 1'!A6:G237, 4,0)</f>
        <v>Programmer</v>
      </c>
      <c r="D6" s="2" t="str">
        <f>VLOOKUP('Источник 1'!A6,'Источник 1'!A6:G237,5,0)</f>
        <v>B01</v>
      </c>
      <c r="E6" s="2" t="str">
        <f>IF('Источник 1'!G6&gt;0,"YES","NO")</f>
        <v>YES</v>
      </c>
      <c r="K6" s="9" t="s">
        <v>78</v>
      </c>
      <c r="L6" s="2">
        <f ca="1">SUMIF('Источник 1'!E5:F236,'Задания 1.1'!K6,'Источник 1'!F5:F236)</f>
        <v>440000</v>
      </c>
      <c r="M6" s="2">
        <f ca="1">SUMIF('Источник 1'!E6:G237, 'Задания 1.1'!K6, 'Источник 1'!G6:G237)</f>
        <v>8000</v>
      </c>
      <c r="N6" s="2">
        <f t="shared" si="0"/>
        <v>4</v>
      </c>
    </row>
    <row r="7" spans="1:14" x14ac:dyDescent="0.3">
      <c r="A7" s="8">
        <v>4</v>
      </c>
      <c r="B7" s="2" t="str">
        <f>_xlfn.CONCAT('Источник 1'!B7," ",'Источник 1'!C7)</f>
        <v>Coulter Tony</v>
      </c>
      <c r="C7" s="2" t="str">
        <f>VLOOKUP('Источник 1'!A7,'Источник 1'!A7:G238, 4,0)</f>
        <v>Programmer</v>
      </c>
      <c r="D7" s="2" t="str">
        <f>VLOOKUP('Источник 1'!A7,'Источник 1'!A7:G238,5,0)</f>
        <v>B01</v>
      </c>
      <c r="E7" s="2" t="str">
        <f>IF('Источник 1'!G7&gt;0,"YES","NO")</f>
        <v>YES</v>
      </c>
      <c r="K7" s="9" t="s">
        <v>87</v>
      </c>
      <c r="L7" s="2">
        <f ca="1">SUMIF('Источник 1'!E6:F237,'Задания 1.1'!K7,'Источник 1'!F6:F237)</f>
        <v>306000</v>
      </c>
      <c r="M7" s="2">
        <f ca="1">SUMIF('Источник 1'!E7:G238, 'Задания 1.1'!K7, 'Источник 1'!G7:G238)</f>
        <v>25000</v>
      </c>
      <c r="N7" s="2">
        <f t="shared" si="0"/>
        <v>1</v>
      </c>
    </row>
    <row r="8" spans="1:14" x14ac:dyDescent="0.3">
      <c r="A8" s="8">
        <v>5</v>
      </c>
      <c r="B8" s="2" t="str">
        <f>_xlfn.CONCAT('Источник 1'!B8," ",'Источник 1'!C8)</f>
        <v>Gupta Rajiv</v>
      </c>
      <c r="C8" s="2" t="str">
        <f>VLOOKUP('Источник 1'!A8,'Источник 1'!A8:G239, 4,0)</f>
        <v>Manager</v>
      </c>
      <c r="D8" s="2" t="str">
        <f>VLOOKUP('Источник 1'!A8,'Источник 1'!A8:G239,5,0)</f>
        <v>B01</v>
      </c>
      <c r="E8" s="2" t="str">
        <f>IF('Источник 1'!G8&gt;0,"YES","NO")</f>
        <v>YES</v>
      </c>
      <c r="K8" s="9" t="s">
        <v>91</v>
      </c>
      <c r="L8" s="2">
        <f ca="1">SUMIF('Источник 1'!E7:F238,'Задания 1.1'!K8,'Источник 1'!F7:F238)</f>
        <v>235000</v>
      </c>
      <c r="M8" s="2">
        <f ca="1">SUMIF('Источник 1'!E8:G239, 'Задания 1.1'!K8, 'Источник 1'!G8:G239)</f>
        <v>0</v>
      </c>
      <c r="N8" s="2">
        <f t="shared" si="0"/>
        <v>0</v>
      </c>
    </row>
    <row r="9" spans="1:14" x14ac:dyDescent="0.3">
      <c r="A9" s="8">
        <v>6</v>
      </c>
      <c r="B9" s="2" t="str">
        <f>_xlfn.CONCAT('Источник 1'!B9," ",'Источник 1'!C9)</f>
        <v>Williams-Martinez Belinda</v>
      </c>
      <c r="C9" s="2" t="str">
        <f>VLOOKUP('Источник 1'!A9,'Источник 1'!A9:G240, 4,0)</f>
        <v>Manager</v>
      </c>
      <c r="D9" s="2" t="str">
        <f>VLOOKUP('Источник 1'!A9,'Источник 1'!A9:G240,5,0)</f>
        <v>B01</v>
      </c>
      <c r="E9" s="2" t="str">
        <f>IF('Источник 1'!G9&gt;0,"YES","NO")</f>
        <v>NO</v>
      </c>
      <c r="K9" s="9" t="s">
        <v>95</v>
      </c>
      <c r="L9" s="2">
        <f ca="1">SUMIF('Источник 1'!E8:F239,'Задания 1.1'!K9,'Источник 1'!F8:F239)</f>
        <v>202000</v>
      </c>
      <c r="M9" s="2">
        <f ca="1">SUMIF('Источник 1'!E9:G240, 'Задания 1.1'!K9, 'Источник 1'!G9:G240)</f>
        <v>3000</v>
      </c>
      <c r="N9" s="2">
        <f t="shared" si="0"/>
        <v>1</v>
      </c>
    </row>
    <row r="10" spans="1:14" x14ac:dyDescent="0.3">
      <c r="A10" s="8">
        <v>7</v>
      </c>
      <c r="B10" s="2" t="str">
        <f>_xlfn.CONCAT('Источник 1'!B10," ",'Источник 1'!C10)</f>
        <v>Niedzwiecki Edward</v>
      </c>
      <c r="C10" s="2" t="str">
        <f>VLOOKUP('Источник 1'!A10,'Источник 1'!A10:G241, 4,0)</f>
        <v>Programmer</v>
      </c>
      <c r="D10" s="2" t="str">
        <f>VLOOKUP('Источник 1'!A10,'Источник 1'!A10:G241,5,0)</f>
        <v>B01</v>
      </c>
      <c r="E10" s="2" t="str">
        <f>IF('Источник 1'!G10&gt;0,"YES","NO")</f>
        <v>NO</v>
      </c>
      <c r="K10" s="9" t="s">
        <v>107</v>
      </c>
      <c r="L10" s="2">
        <f ca="1">SUMIF('Источник 1'!E9:F240,'Задания 1.1'!K10,'Источник 1'!F9:F240)</f>
        <v>294000</v>
      </c>
      <c r="M10" s="2">
        <f ca="1">SUMIF('Источник 1'!E10:G241, 'Задания 1.1'!K10, 'Источник 1'!G10:G241)</f>
        <v>25000</v>
      </c>
      <c r="N10" s="2">
        <f t="shared" si="0"/>
        <v>2</v>
      </c>
    </row>
    <row r="11" spans="1:14" x14ac:dyDescent="0.3">
      <c r="A11" s="8">
        <v>8</v>
      </c>
      <c r="B11" s="2" t="str">
        <f>_xlfn.CONCAT('Источник 1'!B11," ",'Источник 1'!C11)</f>
        <v>Wang Kenny</v>
      </c>
      <c r="C11" s="2" t="str">
        <f>VLOOKUP('Источник 1'!A11,'Источник 1'!A11:G242, 4,0)</f>
        <v>Consultant</v>
      </c>
      <c r="D11" s="2" t="str">
        <f>VLOOKUP('Источник 1'!A11,'Источник 1'!A11:G242,5,0)</f>
        <v>B01</v>
      </c>
      <c r="E11" s="2" t="str">
        <f>IF('Источник 1'!G11&gt;0,"YES","NO")</f>
        <v>YES</v>
      </c>
      <c r="K11" s="9" t="s">
        <v>111</v>
      </c>
      <c r="L11" s="2">
        <f ca="1">SUMIF('Источник 1'!E10:F241,'Задания 1.1'!K11,'Источник 1'!F10:F241)</f>
        <v>2004000</v>
      </c>
      <c r="M11" s="2">
        <f ca="1">SUMIF('Источник 1'!E11:G242, 'Задания 1.1'!K11, 'Источник 1'!G11:G242)</f>
        <v>49000</v>
      </c>
      <c r="N11" s="2">
        <f t="shared" si="0"/>
        <v>12</v>
      </c>
    </row>
    <row r="12" spans="1:14" x14ac:dyDescent="0.3">
      <c r="A12" s="8">
        <v>9</v>
      </c>
      <c r="B12" s="2" t="str">
        <f>_xlfn.CONCAT('Источник 1'!B12," ",'Источник 1'!C12)</f>
        <v>Adams Frank</v>
      </c>
      <c r="C12" s="2" t="str">
        <f>VLOOKUP('Источник 1'!A12,'Источник 1'!A12:G243, 4,0)</f>
        <v>Programmer</v>
      </c>
      <c r="D12" s="2" t="str">
        <f>VLOOKUP('Источник 1'!A12,'Источник 1'!A12:G243,5,0)</f>
        <v>B01</v>
      </c>
      <c r="E12" s="2" t="str">
        <f>IF('Источник 1'!G12&gt;0,"YES","NO")</f>
        <v>NO</v>
      </c>
      <c r="K12" s="9" t="s">
        <v>129</v>
      </c>
      <c r="L12" s="2">
        <f ca="1">SUMIF('Источник 1'!E11:F242,'Задания 1.1'!K12,'Источник 1'!F11:F242)</f>
        <v>593000</v>
      </c>
      <c r="M12" s="2">
        <f ca="1">SUMIF('Источник 1'!E12:G243, 'Задания 1.1'!K12, 'Источник 1'!G12:G243)</f>
        <v>38000</v>
      </c>
      <c r="N12" s="2">
        <f t="shared" si="0"/>
        <v>5</v>
      </c>
    </row>
    <row r="13" spans="1:14" x14ac:dyDescent="0.3">
      <c r="A13" s="8">
        <v>10</v>
      </c>
      <c r="B13" s="2" t="str">
        <f>_xlfn.CONCAT('Источник 1'!B13," ",'Источник 1'!C13)</f>
        <v>Niedzwiecki Stephanie</v>
      </c>
      <c r="C13" s="2" t="str">
        <f>VLOOKUP('Источник 1'!A13,'Источник 1'!A13:G244, 4,0)</f>
        <v>Manager</v>
      </c>
      <c r="D13" s="2" t="str">
        <f>VLOOKUP('Источник 1'!A13,'Источник 1'!A13:G244,5,0)</f>
        <v>B01</v>
      </c>
      <c r="E13" s="2" t="str">
        <f>IF('Источник 1'!G13&gt;0,"YES","NO")</f>
        <v>YES</v>
      </c>
      <c r="K13" s="9" t="s">
        <v>150</v>
      </c>
      <c r="L13" s="2">
        <f ca="1">SUMIF('Источник 1'!E12:F243,'Задания 1.1'!K13,'Источник 1'!F12:F243)</f>
        <v>155000</v>
      </c>
      <c r="M13" s="2">
        <f ca="1">SUMIF('Источник 1'!E13:G244, 'Задания 1.1'!K13, 'Источник 1'!G13:G244)</f>
        <v>5000</v>
      </c>
      <c r="N13" s="2">
        <f t="shared" si="0"/>
        <v>1</v>
      </c>
    </row>
    <row r="14" spans="1:14" x14ac:dyDescent="0.3">
      <c r="A14" s="8">
        <v>11</v>
      </c>
      <c r="B14" s="2" t="str">
        <f>_xlfn.CONCAT('Источник 1'!B14," ",'Источник 1'!C14)</f>
        <v>Mallory Petee</v>
      </c>
      <c r="C14" s="2" t="str">
        <f>VLOOKUP('Источник 1'!A14,'Источник 1'!A14:G245, 4,0)</f>
        <v>Programmer</v>
      </c>
      <c r="D14" s="2" t="str">
        <f>VLOOKUP('Источник 1'!A14,'Источник 1'!A14:G245,5,0)</f>
        <v>B01</v>
      </c>
      <c r="E14" s="2" t="str">
        <f>IF('Источник 1'!G14&gt;0,"YES","NO")</f>
        <v>YES</v>
      </c>
      <c r="K14" s="9" t="s">
        <v>163</v>
      </c>
      <c r="L14" s="2">
        <f ca="1">SUMIF('Источник 1'!E13:F244,'Задания 1.1'!K14,'Источник 1'!F13:F244)</f>
        <v>180000</v>
      </c>
      <c r="M14" s="2">
        <f ca="1">SUMIF('Источник 1'!E14:G245, 'Задания 1.1'!K14, 'Источник 1'!G14:G245)</f>
        <v>0</v>
      </c>
      <c r="N14" s="2">
        <f t="shared" si="0"/>
        <v>0</v>
      </c>
    </row>
    <row r="15" spans="1:14" x14ac:dyDescent="0.3">
      <c r="A15" s="8">
        <v>12</v>
      </c>
      <c r="B15" s="2" t="str">
        <f>_xlfn.CONCAT('Источник 1'!B15," ",'Источник 1'!C15)</f>
        <v>Messer Hillary</v>
      </c>
      <c r="C15" s="2" t="str">
        <f>VLOOKUP('Источник 1'!A15,'Источник 1'!A15:G246, 4,0)</f>
        <v>Software Engineer</v>
      </c>
      <c r="D15" s="2" t="str">
        <f>VLOOKUP('Источник 1'!A15,'Источник 1'!A15:G246,5,0)</f>
        <v>B01</v>
      </c>
      <c r="E15" s="2" t="str">
        <f>IF('Источник 1'!G15&gt;0,"YES","NO")</f>
        <v>YES</v>
      </c>
      <c r="K15" s="9" t="s">
        <v>176</v>
      </c>
      <c r="L15" s="2">
        <f ca="1">SUMIF('Источник 1'!E14:F245,'Задания 1.1'!K15,'Источник 1'!F14:F245)</f>
        <v>304000</v>
      </c>
      <c r="M15" s="2">
        <f ca="1">SUMIF('Источник 1'!E15:G246, 'Задания 1.1'!K15, 'Источник 1'!G15:G246)</f>
        <v>15000</v>
      </c>
      <c r="N15" s="2">
        <f t="shared" si="0"/>
        <v>4</v>
      </c>
    </row>
    <row r="16" spans="1:14" x14ac:dyDescent="0.3">
      <c r="A16" s="8">
        <v>13</v>
      </c>
      <c r="B16" s="2" t="str">
        <f>_xlfn.CONCAT('Источник 1'!B16," ",'Источник 1'!C16)</f>
        <v>Fleming James</v>
      </c>
      <c r="C16" s="2" t="str">
        <f>VLOOKUP('Источник 1'!A16,'Источник 1'!A16:G247, 4,0)</f>
        <v>Manager</v>
      </c>
      <c r="D16" s="2" t="str">
        <f>VLOOKUP('Источник 1'!A16,'Источник 1'!A16:G247,5,0)</f>
        <v>B01</v>
      </c>
      <c r="E16" s="2" t="str">
        <f>IF('Источник 1'!G16&gt;0,"YES","NO")</f>
        <v>YES</v>
      </c>
      <c r="K16" s="9" t="s">
        <v>195</v>
      </c>
      <c r="L16" s="2">
        <f ca="1">SUMIF('Источник 1'!E15:F246,'Задания 1.1'!K16,'Источник 1'!F15:F246)</f>
        <v>300000</v>
      </c>
      <c r="M16" s="2">
        <f ca="1">SUMIF('Источник 1'!E16:G247, 'Задания 1.1'!K16, 'Источник 1'!G16:G247)</f>
        <v>15000</v>
      </c>
      <c r="N16" s="2">
        <f t="shared" si="0"/>
        <v>2</v>
      </c>
    </row>
    <row r="17" spans="1:14" x14ac:dyDescent="0.3">
      <c r="A17" s="8">
        <v>20</v>
      </c>
      <c r="B17" s="2" t="str">
        <f>_xlfn.CONCAT('Источник 1'!B17," ",'Источник 1'!C17)</f>
        <v>Fisher Charles</v>
      </c>
      <c r="C17" s="2" t="str">
        <f>VLOOKUP('Источник 1'!A17,'Источник 1'!A17:G248, 4,0)</f>
        <v>Programmer</v>
      </c>
      <c r="D17" s="2" t="str">
        <f>VLOOKUP('Источник 1'!A17,'Источник 1'!A17:G248,5,0)</f>
        <v>B01</v>
      </c>
      <c r="E17" s="2" t="str">
        <f>IF('Источник 1'!G17&gt;0,"YES","NO")</f>
        <v>NO</v>
      </c>
      <c r="K17" s="9" t="s">
        <v>198</v>
      </c>
      <c r="L17" s="2">
        <f ca="1">SUMIF('Источник 1'!E16:F247,'Задания 1.1'!K17,'Источник 1'!F16:F247)</f>
        <v>215000</v>
      </c>
      <c r="M17" s="2">
        <f ca="1">SUMIF('Источник 1'!E17:G248, 'Задания 1.1'!K17, 'Источник 1'!G17:G248)</f>
        <v>0</v>
      </c>
      <c r="N17" s="2">
        <f t="shared" si="0"/>
        <v>0</v>
      </c>
    </row>
    <row r="18" spans="1:14" x14ac:dyDescent="0.3">
      <c r="A18" s="8">
        <v>21</v>
      </c>
      <c r="B18" s="2" t="str">
        <f>_xlfn.CONCAT('Источник 1'!B18," ",'Источник 1'!C18)</f>
        <v>Johnson Barbara</v>
      </c>
      <c r="C18" s="2" t="str">
        <f>VLOOKUP('Источник 1'!A18,'Источник 1'!A18:G249, 4,0)</f>
        <v>Software Analyst</v>
      </c>
      <c r="D18" s="2" t="str">
        <f>VLOOKUP('Источник 1'!A18,'Источник 1'!A18:G249,5,0)</f>
        <v>B01</v>
      </c>
      <c r="E18" s="2" t="str">
        <f>IF('Источник 1'!G18&gt;0,"YES","NO")</f>
        <v>NO</v>
      </c>
      <c r="K18" s="9" t="s">
        <v>204</v>
      </c>
      <c r="L18" s="2">
        <f ca="1">SUMIF('Источник 1'!E17:F248,'Задания 1.1'!K18,'Источник 1'!F17:F248)</f>
        <v>343000</v>
      </c>
      <c r="M18" s="2">
        <f ca="1">SUMIF('Источник 1'!E18:G249, 'Задания 1.1'!K18, 'Источник 1'!G18:G249)</f>
        <v>5000</v>
      </c>
      <c r="N18" s="2">
        <f t="shared" si="0"/>
        <v>1</v>
      </c>
    </row>
    <row r="19" spans="1:14" x14ac:dyDescent="0.3">
      <c r="A19" s="8">
        <v>30</v>
      </c>
      <c r="B19" s="2" t="str">
        <f>_xlfn.CONCAT('Источник 1'!B19," ",'Источник 1'!C19)</f>
        <v>Miller Jennifer</v>
      </c>
      <c r="C19" s="2" t="str">
        <f>VLOOKUP('Источник 1'!A19,'Источник 1'!A19:G250, 4,0)</f>
        <v>Consultant</v>
      </c>
      <c r="D19" s="2" t="str">
        <f>VLOOKUP('Источник 1'!A19,'Источник 1'!A19:G250,5,0)</f>
        <v>B01</v>
      </c>
      <c r="E19" s="2" t="str">
        <f>IF('Источник 1'!G19&gt;0,"YES","NO")</f>
        <v>NO</v>
      </c>
      <c r="K19" s="9" t="s">
        <v>212</v>
      </c>
      <c r="L19" s="2">
        <f ca="1">SUMIF('Источник 1'!E18:F249,'Задания 1.1'!K19,'Источник 1'!F18:F249)</f>
        <v>204000</v>
      </c>
      <c r="M19" s="2">
        <f ca="1">SUMIF('Источник 1'!E19:G250, 'Задания 1.1'!K19, 'Источник 1'!G19:G250)</f>
        <v>0</v>
      </c>
      <c r="N19" s="2">
        <f t="shared" si="0"/>
        <v>0</v>
      </c>
    </row>
    <row r="20" spans="1:14" x14ac:dyDescent="0.3">
      <c r="A20" s="8">
        <v>32</v>
      </c>
      <c r="B20" s="2" t="str">
        <f>_xlfn.CONCAT('Источник 1'!B20," ",'Источник 1'!C20)</f>
        <v>Rubin Thomas</v>
      </c>
      <c r="C20" s="2" t="str">
        <f>VLOOKUP('Источник 1'!A20,'Источник 1'!A20:G251, 4,0)</f>
        <v>Software Developer</v>
      </c>
      <c r="D20" s="2" t="str">
        <f>VLOOKUP('Источник 1'!A20,'Источник 1'!A20:G251,5,0)</f>
        <v>B01</v>
      </c>
      <c r="E20" s="2" t="str">
        <f>IF('Источник 1'!G20&gt;0,"YES","NO")</f>
        <v>NO</v>
      </c>
      <c r="K20" s="9" t="s">
        <v>221</v>
      </c>
      <c r="L20" s="2">
        <f ca="1">SUMIF('Источник 1'!E19:F250,'Задания 1.1'!K20,'Источник 1'!F19:F250)</f>
        <v>379000</v>
      </c>
      <c r="M20" s="2">
        <f ca="1">SUMIF('Источник 1'!E20:G251, 'Задания 1.1'!K20, 'Источник 1'!G20:G251)</f>
        <v>0</v>
      </c>
      <c r="N20" s="2">
        <f t="shared" si="0"/>
        <v>0</v>
      </c>
    </row>
    <row r="21" spans="1:14" x14ac:dyDescent="0.3">
      <c r="A21" s="8">
        <v>34</v>
      </c>
      <c r="B21" s="2" t="str">
        <f>_xlfn.CONCAT('Источник 1'!B21," ",'Источник 1'!C21)</f>
        <v>Smith Peter</v>
      </c>
      <c r="C21" s="2" t="str">
        <f>VLOOKUP('Источник 1'!A21,'Источник 1'!A21:G252, 4,0)</f>
        <v>Programmer</v>
      </c>
      <c r="D21" s="2" t="str">
        <f>VLOOKUP('Источник 1'!A21,'Источник 1'!A21:G252,5,0)</f>
        <v>B01</v>
      </c>
      <c r="E21" s="2" t="str">
        <f>IF('Источник 1'!G21&gt;0,"YES","NO")</f>
        <v>YES</v>
      </c>
      <c r="K21" s="9" t="s">
        <v>230</v>
      </c>
      <c r="L21" s="2">
        <f ca="1">SUMIF('Источник 1'!E20:F251,'Задания 1.1'!K21,'Источник 1'!F20:F251)</f>
        <v>201000</v>
      </c>
      <c r="M21" s="2">
        <f ca="1">SUMIF('Источник 1'!E21:G252, 'Задания 1.1'!K21, 'Источник 1'!G21:G252)</f>
        <v>0</v>
      </c>
      <c r="N21" s="2">
        <f t="shared" si="0"/>
        <v>0</v>
      </c>
    </row>
    <row r="22" spans="1:14" x14ac:dyDescent="0.3">
      <c r="A22" s="8">
        <v>35</v>
      </c>
      <c r="B22" s="2" t="str">
        <f>_xlfn.CONCAT('Источник 1'!B22," ",'Источник 1'!C22)</f>
        <v>Czarny Tony</v>
      </c>
      <c r="C22" s="2" t="str">
        <f>VLOOKUP('Источник 1'!A22,'Источник 1'!A22:G253, 4,0)</f>
        <v>Consultant</v>
      </c>
      <c r="D22" s="2" t="str">
        <f>VLOOKUP('Источник 1'!A22,'Источник 1'!A22:G253,5,0)</f>
        <v>B01</v>
      </c>
      <c r="E22" s="2" t="str">
        <f>IF('Источник 1'!G22&gt;0,"YES","NO")</f>
        <v>NO</v>
      </c>
      <c r="K22" s="9" t="s">
        <v>235</v>
      </c>
      <c r="L22" s="2">
        <f ca="1">SUMIF('Источник 1'!E21:F252,'Задания 1.1'!K22,'Источник 1'!F21:F252)</f>
        <v>210000</v>
      </c>
      <c r="M22" s="2">
        <f ca="1">SUMIF('Источник 1'!E22:G253, 'Задания 1.1'!K22, 'Источник 1'!G22:G253)</f>
        <v>20000</v>
      </c>
      <c r="N22" s="2">
        <f t="shared" si="0"/>
        <v>2</v>
      </c>
    </row>
    <row r="23" spans="1:14" x14ac:dyDescent="0.3">
      <c r="A23" s="8">
        <v>33</v>
      </c>
      <c r="B23" s="2" t="str">
        <f>_xlfn.CONCAT('Источник 1'!B23," ",'Источник 1'!C23)</f>
        <v>Williams-Aikman Valerie</v>
      </c>
      <c r="C23" s="2" t="str">
        <f>VLOOKUP('Источник 1'!A23,'Источник 1'!A23:G254, 4,0)</f>
        <v>Manager</v>
      </c>
      <c r="D23" s="2" t="str">
        <f>VLOOKUP('Источник 1'!A23,'Источник 1'!A23:G254,5,0)</f>
        <v>B01</v>
      </c>
      <c r="E23" s="2" t="str">
        <f>IF('Источник 1'!G23&gt;0,"YES","NO")</f>
        <v>NO</v>
      </c>
      <c r="K23" s="9" t="s">
        <v>238</v>
      </c>
      <c r="L23" s="2">
        <f ca="1">SUMIF('Источник 1'!E22:F253,'Задания 1.1'!K23,'Источник 1'!F22:F253)</f>
        <v>387000</v>
      </c>
      <c r="M23" s="2">
        <f ca="1">SUMIF('Источник 1'!E23:G254, 'Задания 1.1'!K23, 'Источник 1'!G23:G254)</f>
        <v>0</v>
      </c>
      <c r="N23" s="2">
        <f t="shared" si="0"/>
        <v>0</v>
      </c>
    </row>
    <row r="24" spans="1:14" x14ac:dyDescent="0.3">
      <c r="A24" s="8">
        <v>36</v>
      </c>
      <c r="B24" s="2" t="str">
        <f>_xlfn.CONCAT('Источник 1'!B24," ",'Источник 1'!C24)</f>
        <v>Niedzwiecki Arnold</v>
      </c>
      <c r="C24" s="2" t="str">
        <f>VLOOKUP('Источник 1'!A24,'Источник 1'!A24:G255, 4,0)</f>
        <v>Software Developer</v>
      </c>
      <c r="D24" s="2" t="str">
        <f>VLOOKUP('Источник 1'!A24,'Источник 1'!A24:G255,5,0)</f>
        <v>B01</v>
      </c>
      <c r="E24" s="2" t="str">
        <f>IF('Источник 1'!G24&gt;0,"YES","NO")</f>
        <v>NO</v>
      </c>
      <c r="K24" s="9" t="s">
        <v>248</v>
      </c>
      <c r="L24" s="2">
        <f ca="1">SUMIF('Источник 1'!E23:F254,'Задания 1.1'!K24,'Источник 1'!F23:F254)</f>
        <v>465000</v>
      </c>
      <c r="M24" s="2">
        <f ca="1">SUMIF('Источник 1'!E24:G255, 'Задания 1.1'!K24, 'Источник 1'!G24:G255)</f>
        <v>0</v>
      </c>
      <c r="N24" s="2">
        <f t="shared" si="0"/>
        <v>0</v>
      </c>
    </row>
    <row r="25" spans="1:14" x14ac:dyDescent="0.3">
      <c r="A25" s="8">
        <v>40</v>
      </c>
      <c r="B25" s="2" t="str">
        <f>_xlfn.CONCAT('Источник 1'!B25," ",'Источник 1'!C25)</f>
        <v>Martinez Pedro</v>
      </c>
      <c r="C25" s="2" t="str">
        <f>VLOOKUP('Источник 1'!A25,'Источник 1'!A25:G256, 4,0)</f>
        <v>Software Engineer</v>
      </c>
      <c r="D25" s="2" t="str">
        <f>VLOOKUP('Источник 1'!A25,'Источник 1'!A25:G256,5,0)</f>
        <v>B01</v>
      </c>
      <c r="E25" s="2" t="str">
        <f>IF('Источник 1'!G25&gt;0,"YES","NO")</f>
        <v>YES</v>
      </c>
      <c r="K25" s="9" t="s">
        <v>282</v>
      </c>
      <c r="L25" s="2">
        <f ca="1">SUMIF('Источник 1'!E24:F255,'Задания 1.1'!K25,'Источник 1'!F24:F255)</f>
        <v>230000</v>
      </c>
      <c r="M25" s="2">
        <f ca="1">SUMIF('Источник 1'!E25:G256, 'Задания 1.1'!K25, 'Источник 1'!G25:G256)</f>
        <v>15000</v>
      </c>
      <c r="N25" s="2">
        <f t="shared" si="0"/>
        <v>1</v>
      </c>
    </row>
    <row r="26" spans="1:14" x14ac:dyDescent="0.3">
      <c r="A26" s="8">
        <v>41</v>
      </c>
      <c r="B26" s="2" t="str">
        <f>_xlfn.CONCAT('Источник 1'!B26," ",'Источник 1'!C26)</f>
        <v>Adams Jessica</v>
      </c>
      <c r="C26" s="2" t="str">
        <f>VLOOKUP('Источник 1'!A26,'Источник 1'!A26:G257, 4,0)</f>
        <v>Software Developer</v>
      </c>
      <c r="D26" s="2" t="str">
        <f>VLOOKUP('Источник 1'!A26,'Источник 1'!A26:G257,5,0)</f>
        <v>B01</v>
      </c>
      <c r="E26" s="2" t="str">
        <f>IF('Источник 1'!G26&gt;0,"YES","NO")</f>
        <v>NO</v>
      </c>
      <c r="K26" s="9" t="s">
        <v>289</v>
      </c>
      <c r="L26" s="2">
        <f ca="1">SUMIF('Источник 1'!E25:F256,'Задания 1.1'!K26,'Источник 1'!F25:F256)</f>
        <v>245000</v>
      </c>
      <c r="M26" s="2">
        <f ca="1">SUMIF('Источник 1'!E26:G257, 'Задания 1.1'!K26, 'Источник 1'!G26:G257)</f>
        <v>35000</v>
      </c>
      <c r="N26" s="2">
        <f t="shared" si="0"/>
        <v>3</v>
      </c>
    </row>
    <row r="27" spans="1:14" x14ac:dyDescent="0.3">
      <c r="A27" s="8">
        <v>42</v>
      </c>
      <c r="B27" s="2" t="str">
        <f>_xlfn.CONCAT('Источник 1'!B27," ",'Источник 1'!C27)</f>
        <v>Niedzwiecki Meredith</v>
      </c>
      <c r="C27" s="2" t="str">
        <f>VLOOKUP('Источник 1'!A27,'Источник 1'!A27:G258, 4,0)</f>
        <v>Project Manager</v>
      </c>
      <c r="D27" s="2" t="str">
        <f>VLOOKUP('Источник 1'!A27,'Источник 1'!A27:G258,5,0)</f>
        <v>B01</v>
      </c>
      <c r="E27" s="2" t="str">
        <f>IF('Источник 1'!G27&gt;0,"YES","NO")</f>
        <v>NO</v>
      </c>
      <c r="K27" s="9" t="s">
        <v>295</v>
      </c>
      <c r="L27" s="2">
        <f ca="1">SUMIF('Источник 1'!E26:F257,'Задания 1.1'!K27,'Источник 1'!F26:F257)</f>
        <v>246000</v>
      </c>
      <c r="M27" s="2">
        <f ca="1">SUMIF('Источник 1'!E27:G258, 'Задания 1.1'!K27, 'Источник 1'!G27:G258)</f>
        <v>30000</v>
      </c>
      <c r="N27" s="2">
        <f t="shared" si="0"/>
        <v>1</v>
      </c>
    </row>
    <row r="28" spans="1:14" x14ac:dyDescent="0.3">
      <c r="A28" s="8">
        <v>43</v>
      </c>
      <c r="B28" s="2" t="str">
        <f>_xlfn.CONCAT('Источник 1'!B28," ",'Источник 1'!C28)</f>
        <v>Rokovky Vladimir</v>
      </c>
      <c r="C28" s="2" t="str">
        <f>VLOOKUP('Источник 1'!A28,'Источник 1'!A28:G259, 4,0)</f>
        <v>Programmer</v>
      </c>
      <c r="D28" s="2" t="str">
        <f>VLOOKUP('Источник 1'!A28,'Источник 1'!A28:G259,5,0)</f>
        <v>B01</v>
      </c>
      <c r="E28" s="2" t="str">
        <f>IF('Источник 1'!G28&gt;0,"YES","NO")</f>
        <v>YES</v>
      </c>
      <c r="K28" s="9" t="s">
        <v>299</v>
      </c>
      <c r="L28" s="2">
        <f ca="1">SUMIF('Источник 1'!E27:F258,'Задания 1.1'!K28,'Источник 1'!F27:F258)</f>
        <v>300000</v>
      </c>
      <c r="M28" s="2">
        <f ca="1">SUMIF('Источник 1'!E28:G259, 'Задания 1.1'!K28, 'Источник 1'!G28:G259)</f>
        <v>0</v>
      </c>
      <c r="N28" s="2">
        <f t="shared" si="0"/>
        <v>0</v>
      </c>
    </row>
    <row r="29" spans="1:14" x14ac:dyDescent="0.3">
      <c r="A29" s="8">
        <v>44</v>
      </c>
      <c r="B29" s="2" t="str">
        <f>_xlfn.CONCAT('Источник 1'!B29," ",'Источник 1'!C29)</f>
        <v>Mallory Jan</v>
      </c>
      <c r="C29" s="2" t="str">
        <f>VLOOKUP('Источник 1'!A29,'Источник 1'!A29:G260, 4,0)</f>
        <v>System Engineer</v>
      </c>
      <c r="D29" s="2" t="str">
        <f>VLOOKUP('Источник 1'!A29,'Источник 1'!A29:G260,5,0)</f>
        <v>B01</v>
      </c>
      <c r="E29" s="2" t="str">
        <f>IF('Источник 1'!G29&gt;0,"YES","NO")</f>
        <v>NO</v>
      </c>
      <c r="K29" s="9" t="s">
        <v>311</v>
      </c>
      <c r="L29" s="2">
        <f ca="1">SUMIF('Источник 1'!E28:F259,'Задания 1.1'!K29,'Источник 1'!F28:F259)</f>
        <v>206000</v>
      </c>
      <c r="M29" s="2">
        <f ca="1">SUMIF('Источник 1'!E29:G260, 'Задания 1.1'!K29, 'Источник 1'!G29:G260)</f>
        <v>0</v>
      </c>
      <c r="N29" s="2">
        <f t="shared" si="0"/>
        <v>0</v>
      </c>
    </row>
    <row r="30" spans="1:14" x14ac:dyDescent="0.3">
      <c r="A30" s="8">
        <v>45</v>
      </c>
      <c r="B30" s="2" t="str">
        <f>_xlfn.CONCAT('Источник 1'!B30," ",'Источник 1'!C30)</f>
        <v>Messer Amy</v>
      </c>
      <c r="C30" s="2" t="str">
        <f>VLOOKUP('Источник 1'!A30,'Источник 1'!A30:G261, 4,0)</f>
        <v>Programmer</v>
      </c>
      <c r="D30" s="2" t="str">
        <f>VLOOKUP('Источник 1'!A30,'Источник 1'!A30:G261,5,0)</f>
        <v>B01</v>
      </c>
      <c r="E30" s="2" t="str">
        <f>IF('Источник 1'!G30&gt;0,"YES","NO")</f>
        <v>YES</v>
      </c>
      <c r="K30" s="9" t="s">
        <v>320</v>
      </c>
      <c r="L30" s="2">
        <f ca="1">SUMIF('Источник 1'!E29:F260,'Задания 1.1'!K30,'Источник 1'!F29:F260)</f>
        <v>250000</v>
      </c>
      <c r="M30" s="2">
        <f ca="1">SUMIF('Источник 1'!E30:G261, 'Задания 1.1'!K30, 'Источник 1'!G30:G261)</f>
        <v>50000</v>
      </c>
      <c r="N30" s="2">
        <f t="shared" si="0"/>
        <v>1</v>
      </c>
    </row>
    <row r="31" spans="1:14" x14ac:dyDescent="0.3">
      <c r="A31" s="8">
        <v>55</v>
      </c>
      <c r="B31" s="2" t="str">
        <f>_xlfn.CONCAT('Источник 1'!B31," ",'Источник 1'!C31)</f>
        <v>Herbert Arnold</v>
      </c>
      <c r="C31" s="2" t="str">
        <f>VLOOKUP('Источник 1'!A31,'Источник 1'!A31:G262, 4,0)</f>
        <v>System Engineer</v>
      </c>
      <c r="D31" s="2" t="str">
        <f>VLOOKUP('Источник 1'!A31,'Источник 1'!A31:G262,5,0)</f>
        <v>B01</v>
      </c>
      <c r="E31" s="2" t="str">
        <f>IF('Источник 1'!G31&gt;0,"YES","NO")</f>
        <v>NO</v>
      </c>
      <c r="K31" s="9" t="s">
        <v>322</v>
      </c>
      <c r="L31" s="2">
        <f ca="1">SUMIF('Источник 1'!E30:F261,'Задания 1.1'!K31,'Источник 1'!F30:F261)</f>
        <v>269000</v>
      </c>
      <c r="M31" s="2">
        <f ca="1">SUMIF('Источник 1'!E31:G262, 'Задания 1.1'!K31, 'Источник 1'!G31:G262)</f>
        <v>35000</v>
      </c>
      <c r="N31" s="2">
        <f t="shared" si="0"/>
        <v>1</v>
      </c>
    </row>
    <row r="32" spans="1:14" x14ac:dyDescent="0.3">
      <c r="A32" s="8">
        <v>47</v>
      </c>
      <c r="B32" s="2" t="str">
        <f>_xlfn.CONCAT('Источник 1'!B32," ",'Источник 1'!C32)</f>
        <v>Martinez Karine</v>
      </c>
      <c r="C32" s="2" t="str">
        <f>VLOOKUP('Источник 1'!A32,'Источник 1'!A32:G263, 4,0)</f>
        <v>Software Analyst</v>
      </c>
      <c r="D32" s="2" t="str">
        <f>VLOOKUP('Источник 1'!A32,'Источник 1'!A32:G263,5,0)</f>
        <v>B01</v>
      </c>
      <c r="E32" s="2" t="str">
        <f>IF('Источник 1'!G32&gt;0,"YES","NO")</f>
        <v>YES</v>
      </c>
      <c r="K32" s="9" t="s">
        <v>324</v>
      </c>
      <c r="L32" s="2">
        <f ca="1">SUMIF('Источник 1'!E31:F262,'Задания 1.1'!K32,'Источник 1'!F31:F262)</f>
        <v>465000</v>
      </c>
      <c r="M32" s="2">
        <f ca="1">SUMIF('Источник 1'!E32:G263, 'Задания 1.1'!K32, 'Источник 1'!G32:G263)</f>
        <v>55000</v>
      </c>
      <c r="N32" s="2">
        <f t="shared" si="0"/>
        <v>7</v>
      </c>
    </row>
    <row r="33" spans="1:15" x14ac:dyDescent="0.3">
      <c r="A33" s="8">
        <v>48</v>
      </c>
      <c r="B33" s="2" t="str">
        <f>_xlfn.CONCAT('Источник 1'!B33," ",'Источник 1'!C33)</f>
        <v>Banister Jessica</v>
      </c>
      <c r="C33" s="2" t="str">
        <f>VLOOKUP('Источник 1'!A33,'Источник 1'!A33:G264, 4,0)</f>
        <v>Consultant</v>
      </c>
      <c r="D33" s="2" t="str">
        <f>VLOOKUP('Источник 1'!A33,'Источник 1'!A33:G264,5,0)</f>
        <v>B01</v>
      </c>
      <c r="E33" s="2" t="str">
        <f>IF('Источник 1'!G33&gt;0,"YES","NO")</f>
        <v>NO</v>
      </c>
      <c r="K33" s="9" t="s">
        <v>346</v>
      </c>
      <c r="L33" s="2">
        <f ca="1">SUMIF('Источник 1'!E32:F263,'Задания 1.1'!K33,'Источник 1'!F32:F263)</f>
        <v>231000</v>
      </c>
      <c r="M33" s="2">
        <f ca="1">SUMIF('Источник 1'!E33:G264, 'Задания 1.1'!K33, 'Источник 1'!G33:G264)</f>
        <v>8000</v>
      </c>
      <c r="N33" s="2">
        <f t="shared" si="0"/>
        <v>2</v>
      </c>
    </row>
    <row r="34" spans="1:15" x14ac:dyDescent="0.3">
      <c r="A34" s="8">
        <v>65</v>
      </c>
      <c r="B34" s="2" t="str">
        <f>_xlfn.CONCAT('Источник 1'!B34," ",'Источник 1'!C34)</f>
        <v>Rodes Meredith</v>
      </c>
      <c r="C34" s="2" t="str">
        <f>VLOOKUP('Источник 1'!A34,'Источник 1'!A34:G265, 4,0)</f>
        <v>Project Manager</v>
      </c>
      <c r="D34" s="2" t="str">
        <f>VLOOKUP('Источник 1'!A34,'Источник 1'!A34:G265,5,0)</f>
        <v>B01</v>
      </c>
      <c r="E34" s="2" t="str">
        <f>IF('Источник 1'!G34&gt;0,"YES","NO")</f>
        <v>NO</v>
      </c>
      <c r="K34" s="9" t="s">
        <v>351</v>
      </c>
      <c r="L34" s="2">
        <f ca="1">SUMIF('Источник 1'!E33:F264,'Задания 1.1'!K34,'Источник 1'!F33:F264)</f>
        <v>170000</v>
      </c>
      <c r="M34" s="2">
        <f ca="1">SUMIF('Источник 1'!E34:G265, 'Задания 1.1'!K34, 'Источник 1'!G34:G265)</f>
        <v>10000</v>
      </c>
      <c r="N34" s="2">
        <f t="shared" si="0"/>
        <v>2</v>
      </c>
    </row>
    <row r="35" spans="1:15" x14ac:dyDescent="0.3">
      <c r="A35" s="8">
        <v>61</v>
      </c>
      <c r="B35" s="2" t="str">
        <f>_xlfn.CONCAT('Источник 1'!B35," ",'Источник 1'!C35)</f>
        <v>Evans Jan</v>
      </c>
      <c r="C35" s="2" t="str">
        <f>VLOOKUP('Источник 1'!A35,'Источник 1'!A35:G266, 4,0)</f>
        <v>Programmer</v>
      </c>
      <c r="D35" s="2" t="str">
        <f>VLOOKUP('Источник 1'!A35,'Источник 1'!A35:G266,5,0)</f>
        <v>B01</v>
      </c>
      <c r="E35" s="2" t="str">
        <f>IF('Источник 1'!G35&gt;0,"YES","NO")</f>
        <v>YES</v>
      </c>
    </row>
    <row r="36" spans="1:15" x14ac:dyDescent="0.3">
      <c r="A36" s="8">
        <v>67</v>
      </c>
      <c r="B36" s="2" t="str">
        <f>_xlfn.CONCAT('Источник 1'!B36," ",'Источник 1'!C36)</f>
        <v>Adamson James</v>
      </c>
      <c r="C36" s="2" t="str">
        <f>VLOOKUP('Источник 1'!A36,'Источник 1'!A36:G267, 4,0)</f>
        <v>Project Manager</v>
      </c>
      <c r="D36" s="2" t="str">
        <f>VLOOKUP('Источник 1'!A36,'Источник 1'!A36:G267,5,0)</f>
        <v>B01</v>
      </c>
      <c r="E36" s="2" t="str">
        <f>IF('Источник 1'!G36&gt;0,"YES","NO")</f>
        <v>YES</v>
      </c>
    </row>
    <row r="37" spans="1:15" x14ac:dyDescent="0.3">
      <c r="A37" s="8">
        <v>68</v>
      </c>
      <c r="B37" s="2" t="str">
        <f>_xlfn.CONCAT('Источник 1'!B37," ",'Источник 1'!C37)</f>
        <v>Brown Charles</v>
      </c>
      <c r="C37" s="2" t="str">
        <f>VLOOKUP('Источник 1'!A37,'Источник 1'!A37:G268, 4,0)</f>
        <v>Software Developer</v>
      </c>
      <c r="D37" s="2" t="str">
        <f>VLOOKUP('Источник 1'!A37,'Источник 1'!A37:G268,5,0)</f>
        <v>B01</v>
      </c>
      <c r="E37" s="2" t="str">
        <f>IF('Источник 1'!G37&gt;0,"YES","NO")</f>
        <v>YES</v>
      </c>
    </row>
    <row r="38" spans="1:15" x14ac:dyDescent="0.3">
      <c r="A38" s="8">
        <v>69</v>
      </c>
      <c r="B38" s="2" t="str">
        <f>_xlfn.CONCAT('Источник 1'!B38," ",'Источник 1'!C38)</f>
        <v>Johnson Diane</v>
      </c>
      <c r="C38" s="2" t="str">
        <f>VLOOKUP('Источник 1'!A38,'Источник 1'!A38:G269, 4,0)</f>
        <v>Programmer</v>
      </c>
      <c r="D38" s="2" t="str">
        <f>VLOOKUP('Источник 1'!A38,'Источник 1'!A38:G269,5,0)</f>
        <v>B01</v>
      </c>
      <c r="E38" s="2" t="str">
        <f>IF('Источник 1'!G38&gt;0,"YES","NO")</f>
        <v>YES</v>
      </c>
      <c r="K38" s="8" t="s">
        <v>377</v>
      </c>
      <c r="L38" s="3">
        <f>SUM('Источник 1'!F4:F235)</f>
        <v>16280000</v>
      </c>
      <c r="N38" s="8" t="s">
        <v>373</v>
      </c>
      <c r="O38" s="3">
        <f>SUM('Источник 1'!G4:G235)</f>
        <v>580000</v>
      </c>
    </row>
    <row r="39" spans="1:15" x14ac:dyDescent="0.3">
      <c r="A39" s="8">
        <v>71</v>
      </c>
      <c r="B39" s="2" t="str">
        <f>_xlfn.CONCAT('Источник 1'!B39," ",'Источник 1'!C39)</f>
        <v>Horak Amy</v>
      </c>
      <c r="C39" s="2" t="str">
        <f>VLOOKUP('Источник 1'!A39,'Источник 1'!A39:G270, 4,0)</f>
        <v>Consultant</v>
      </c>
      <c r="D39" s="2" t="str">
        <f>VLOOKUP('Источник 1'!A39,'Источник 1'!A39:G270,5,0)</f>
        <v>B01</v>
      </c>
      <c r="E39" s="2" t="str">
        <f>IF('Источник 1'!G39&gt;0,"YES","NO")</f>
        <v>YES</v>
      </c>
      <c r="K39" s="8" t="s">
        <v>374</v>
      </c>
      <c r="L39" s="3">
        <f>AVERAGE('Источник 1'!F4:F235)</f>
        <v>70172.413793103449</v>
      </c>
      <c r="N39" s="8" t="s">
        <v>378</v>
      </c>
      <c r="O39" s="3">
        <f>AVERAGE('Источник 1'!G4:G235)</f>
        <v>7073.1707317073169</v>
      </c>
    </row>
    <row r="40" spans="1:15" x14ac:dyDescent="0.3">
      <c r="A40" s="8">
        <v>81</v>
      </c>
      <c r="B40" s="2" t="str">
        <f>_xlfn.CONCAT('Источник 1'!B40," ",'Источник 1'!C40)</f>
        <v>Horak Christine</v>
      </c>
      <c r="C40" s="2" t="str">
        <f>VLOOKUP('Источник 1'!A40,'Источник 1'!A40:G271, 4,0)</f>
        <v>Programmer</v>
      </c>
      <c r="D40" s="2" t="str">
        <f>VLOOKUP('Источник 1'!A40,'Источник 1'!A40:G271,5,0)</f>
        <v>B01</v>
      </c>
      <c r="E40" s="2" t="str">
        <f>IF('Источник 1'!G40&gt;0,"YES","NO")</f>
        <v>YES</v>
      </c>
      <c r="K40" s="8" t="s">
        <v>375</v>
      </c>
      <c r="L40" s="3">
        <f>MAX('Источник 1'!F4:F235)</f>
        <v>250000</v>
      </c>
      <c r="N40" s="8" t="s">
        <v>379</v>
      </c>
      <c r="O40" s="3">
        <f>MAX('Источник 1'!G4:G235)</f>
        <v>50000</v>
      </c>
    </row>
    <row r="41" spans="1:15" x14ac:dyDescent="0.3">
      <c r="A41" s="8">
        <v>82</v>
      </c>
      <c r="B41" s="2" t="str">
        <f>_xlfn.CONCAT('Источник 1'!B41," ",'Источник 1'!C41)</f>
        <v>Gupta Amlan</v>
      </c>
      <c r="C41" s="2" t="str">
        <f>VLOOKUP('Источник 1'!A41,'Источник 1'!A41:G272, 4,0)</f>
        <v>Programmer</v>
      </c>
      <c r="D41" s="2" t="str">
        <f>VLOOKUP('Источник 1'!A41,'Источник 1'!A41:G272,5,0)</f>
        <v>B01</v>
      </c>
      <c r="E41" s="2" t="str">
        <f>IF('Источник 1'!G41&gt;0,"YES","NO")</f>
        <v>YES</v>
      </c>
      <c r="K41" s="8" t="s">
        <v>376</v>
      </c>
      <c r="L41" s="3">
        <f>MIN('Источник 1'!F4:F235)</f>
        <v>21000</v>
      </c>
      <c r="N41" s="8" t="s">
        <v>380</v>
      </c>
      <c r="O41" s="3">
        <f>MIN('Источник 1'!G4:G235)</f>
        <v>500</v>
      </c>
    </row>
    <row r="42" spans="1:15" x14ac:dyDescent="0.3">
      <c r="A42" s="8">
        <v>83</v>
      </c>
      <c r="B42" s="2" t="str">
        <f>_xlfn.CONCAT('Источник 1'!B42," ",'Источник 1'!C42)</f>
        <v>Banister Gwen</v>
      </c>
      <c r="C42" s="2" t="str">
        <f>VLOOKUP('Источник 1'!A42,'Источник 1'!A42:G273, 4,0)</f>
        <v>System Engineer</v>
      </c>
      <c r="D42" s="2" t="str">
        <f>VLOOKUP('Источник 1'!A42,'Источник 1'!A42:G273,5,0)</f>
        <v>B01</v>
      </c>
      <c r="E42" s="2" t="str">
        <f>IF('Источник 1'!G42&gt;0,"YES","NO")</f>
        <v>NO</v>
      </c>
      <c r="K42" s="8" t="s">
        <v>381</v>
      </c>
      <c r="L42" s="2">
        <f>COUNTIF('Источник 1'!F4:F235,"250000")</f>
        <v>3</v>
      </c>
      <c r="N42" s="8" t="s">
        <v>383</v>
      </c>
      <c r="O42" s="2">
        <f>COUNTIF('Источник 1'!G4:G235,"50000")</f>
        <v>1</v>
      </c>
    </row>
    <row r="43" spans="1:15" x14ac:dyDescent="0.3">
      <c r="A43" s="8">
        <v>84</v>
      </c>
      <c r="B43" s="2" t="str">
        <f>_xlfn.CONCAT('Источник 1'!B43," ",'Источник 1'!C43)</f>
        <v>Adams Gwen</v>
      </c>
      <c r="C43" s="2" t="str">
        <f>VLOOKUP('Источник 1'!A43,'Источник 1'!A43:G274, 4,0)</f>
        <v>Software Analyst</v>
      </c>
      <c r="D43" s="2" t="str">
        <f>VLOOKUP('Источник 1'!A43,'Источник 1'!A43:G274,5,0)</f>
        <v>B01</v>
      </c>
      <c r="E43" s="2" t="str">
        <f>IF('Источник 1'!G43&gt;0,"YES","NO")</f>
        <v>YES</v>
      </c>
      <c r="K43" s="8" t="s">
        <v>382</v>
      </c>
      <c r="L43" s="2">
        <f>COUNTIF('Источник 1'!F4:F235,"21000")</f>
        <v>5</v>
      </c>
      <c r="N43" s="8" t="s">
        <v>384</v>
      </c>
      <c r="O43" s="2">
        <f>COUNTIF('Источник 1'!G4:G235,"500")</f>
        <v>6</v>
      </c>
    </row>
    <row r="44" spans="1:15" x14ac:dyDescent="0.3">
      <c r="A44" s="8">
        <v>85</v>
      </c>
      <c r="B44" s="2" t="str">
        <f>_xlfn.CONCAT('Источник 1'!B44," ",'Источник 1'!C44)</f>
        <v>Johnson Karina</v>
      </c>
      <c r="C44" s="2" t="str">
        <f>VLOOKUP('Источник 1'!A44,'Источник 1'!A44:G275, 4,0)</f>
        <v>Consultant</v>
      </c>
      <c r="D44" s="2" t="str">
        <f>VLOOKUP('Источник 1'!A44,'Источник 1'!A44:G275,5,0)</f>
        <v>B01</v>
      </c>
      <c r="E44" s="2" t="str">
        <f>IF('Источник 1'!G44&gt;0,"YES","NO")</f>
        <v>NO</v>
      </c>
    </row>
    <row r="45" spans="1:15" x14ac:dyDescent="0.3">
      <c r="A45" s="8">
        <v>86</v>
      </c>
      <c r="B45" s="2" t="str">
        <f>_xlfn.CONCAT('Источник 1'!B45," ",'Источник 1'!C45)</f>
        <v>Park Karina</v>
      </c>
      <c r="C45" s="2" t="str">
        <f>VLOOKUP('Источник 1'!A45,'Источник 1'!A45:G276, 4,0)</f>
        <v>Software Analyst</v>
      </c>
      <c r="D45" s="2" t="str">
        <f>VLOOKUP('Источник 1'!A45,'Источник 1'!A45:G276,5,0)</f>
        <v>B01</v>
      </c>
      <c r="E45" s="2" t="str">
        <f>IF('Источник 1'!G45&gt;0,"YES","NO")</f>
        <v>NO</v>
      </c>
    </row>
    <row r="46" spans="1:15" x14ac:dyDescent="0.3">
      <c r="A46" s="8">
        <v>87</v>
      </c>
      <c r="B46" s="2" t="str">
        <f>_xlfn.CONCAT('Источник 1'!B46," ",'Источник 1'!C46)</f>
        <v>Lee Sue</v>
      </c>
      <c r="C46" s="2" t="str">
        <f>VLOOKUP('Источник 1'!A46,'Источник 1'!A46:G277, 4,0)</f>
        <v>Programmer</v>
      </c>
      <c r="D46" s="2" t="str">
        <f>VLOOKUP('Источник 1'!A46,'Источник 1'!A46:G277,5,0)</f>
        <v>B01</v>
      </c>
      <c r="E46" s="2" t="str">
        <f>IF('Источник 1'!G46&gt;0,"YES","NO")</f>
        <v>NO</v>
      </c>
    </row>
    <row r="47" spans="1:15" x14ac:dyDescent="0.3">
      <c r="A47" s="8">
        <v>88</v>
      </c>
      <c r="B47" s="2" t="str">
        <f>_xlfn.CONCAT('Источник 1'!B47," ",'Источник 1'!C47)</f>
        <v>Miller Betty</v>
      </c>
      <c r="C47" s="2" t="str">
        <f>VLOOKUP('Источник 1'!A47,'Источник 1'!A47:G278, 4,0)</f>
        <v>Consultant</v>
      </c>
      <c r="D47" s="2" t="str">
        <f>VLOOKUP('Источник 1'!A47,'Источник 1'!A47:G278,5,0)</f>
        <v>B01</v>
      </c>
      <c r="E47" s="2" t="str">
        <f>IF('Источник 1'!G47&gt;0,"YES","NO")</f>
        <v>YES</v>
      </c>
    </row>
    <row r="48" spans="1:15" x14ac:dyDescent="0.3">
      <c r="A48" s="8">
        <v>98</v>
      </c>
      <c r="B48" s="2" t="str">
        <f>_xlfn.CONCAT('Источник 1'!B48," ",'Источник 1'!C48)</f>
        <v>Lee John</v>
      </c>
      <c r="C48" s="2" t="str">
        <f>VLOOKUP('Источник 1'!A48,'Источник 1'!A48:G279, 4,0)</f>
        <v>Senior Manager</v>
      </c>
      <c r="D48" s="2" t="str">
        <f>VLOOKUP('Источник 1'!A48,'Источник 1'!A48:G279,5,0)</f>
        <v>B92</v>
      </c>
      <c r="E48" s="2" t="str">
        <f>IF('Источник 1'!G48&gt;0,"YES","NO")</f>
        <v>YES</v>
      </c>
    </row>
    <row r="49" spans="1:5" x14ac:dyDescent="0.3">
      <c r="A49" s="8">
        <v>99</v>
      </c>
      <c r="B49" s="2" t="str">
        <f>_xlfn.CONCAT('Источник 1'!B49," ",'Источник 1'!C49)</f>
        <v>Wang Xiu</v>
      </c>
      <c r="C49" s="2" t="str">
        <f>VLOOKUP('Источник 1'!A49,'Источник 1'!A49:G280, 4,0)</f>
        <v>Consultant</v>
      </c>
      <c r="D49" s="2" t="str">
        <f>VLOOKUP('Источник 1'!A49,'Источник 1'!A49:G280,5,0)</f>
        <v>B92</v>
      </c>
      <c r="E49" s="2" t="str">
        <f>IF('Источник 1'!G49&gt;0,"YES","NO")</f>
        <v>YES</v>
      </c>
    </row>
    <row r="50" spans="1:5" x14ac:dyDescent="0.3">
      <c r="A50" s="8">
        <v>109</v>
      </c>
      <c r="B50" s="2" t="str">
        <f>_xlfn.CONCAT('Источник 1'!B50," ",'Источник 1'!C50)</f>
        <v>Lu Xue</v>
      </c>
      <c r="C50" s="2" t="str">
        <f>VLOOKUP('Источник 1'!A50,'Источник 1'!A50:G281, 4,0)</f>
        <v>Consultant</v>
      </c>
      <c r="D50" s="2" t="str">
        <f>VLOOKUP('Источник 1'!A50,'Источник 1'!A50:G281,5,0)</f>
        <v>B92</v>
      </c>
      <c r="E50" s="2" t="str">
        <f>IF('Источник 1'!G50&gt;0,"YES","NO")</f>
        <v>YES</v>
      </c>
    </row>
    <row r="51" spans="1:5" x14ac:dyDescent="0.3">
      <c r="A51" s="8">
        <v>106</v>
      </c>
      <c r="B51" s="2" t="str">
        <f>_xlfn.CONCAT('Источник 1'!B51," ",'Источник 1'!C51)</f>
        <v>Lu Wei</v>
      </c>
      <c r="C51" s="2" t="str">
        <f>VLOOKUP('Источник 1'!A51,'Источник 1'!A51:G282, 4,0)</f>
        <v>Consultant</v>
      </c>
      <c r="D51" s="2" t="str">
        <f>VLOOKUP('Источник 1'!A51,'Источник 1'!A51:G282,5,0)</f>
        <v>B92</v>
      </c>
      <c r="E51" s="2" t="str">
        <f>IF('Источник 1'!G51&gt;0,"YES","NO")</f>
        <v>NO</v>
      </c>
    </row>
    <row r="52" spans="1:5" x14ac:dyDescent="0.3">
      <c r="A52" s="8">
        <v>107</v>
      </c>
      <c r="B52" s="2" t="str">
        <f>_xlfn.CONCAT('Источник 1'!B52," ",'Источник 1'!C52)</f>
        <v>Krasny Igor</v>
      </c>
      <c r="C52" s="2" t="str">
        <f>VLOOKUP('Источник 1'!A52,'Источник 1'!A52:G283, 4,0)</f>
        <v>Software Analyst</v>
      </c>
      <c r="D52" s="2" t="str">
        <f>VLOOKUP('Источник 1'!A52,'Источник 1'!A52:G283,5,0)</f>
        <v>B92</v>
      </c>
      <c r="E52" s="2" t="str">
        <f>IF('Источник 1'!G52&gt;0,"YES","NO")</f>
        <v>YES</v>
      </c>
    </row>
    <row r="53" spans="1:5" x14ac:dyDescent="0.3">
      <c r="A53" s="8">
        <v>200</v>
      </c>
      <c r="B53" s="2" t="str">
        <f>_xlfn.CONCAT('Источник 1'!B53," ",'Источник 1'!C53)</f>
        <v>Smidt Hans</v>
      </c>
      <c r="C53" s="2" t="str">
        <f>VLOOKUP('Источник 1'!A53,'Источник 1'!A53:G284, 4,0)</f>
        <v>Consultant</v>
      </c>
      <c r="D53" s="2" t="str">
        <f>VLOOKUP('Источник 1'!A53,'Источник 1'!A53:G284,5,0)</f>
        <v>B77</v>
      </c>
      <c r="E53" s="2" t="str">
        <f>IF('Источник 1'!G53&gt;0,"YES","NO")</f>
        <v>YES</v>
      </c>
    </row>
    <row r="54" spans="1:5" x14ac:dyDescent="0.3">
      <c r="A54" s="8">
        <v>108</v>
      </c>
      <c r="B54" s="2" t="str">
        <f>_xlfn.CONCAT('Источник 1'!B54," ",'Источник 1'!C54)</f>
        <v>Mayer Inge</v>
      </c>
      <c r="C54" s="2" t="str">
        <f>VLOOKUP('Источник 1'!A54,'Источник 1'!A54:G285, 4,0)</f>
        <v>Consultant</v>
      </c>
      <c r="D54" s="2" t="str">
        <f>VLOOKUP('Источник 1'!A54,'Источник 1'!A54:G285,5,0)</f>
        <v>B77</v>
      </c>
      <c r="E54" s="2" t="str">
        <f>IF('Источник 1'!G54&gt;0,"YES","NO")</f>
        <v>YES</v>
      </c>
    </row>
    <row r="55" spans="1:5" x14ac:dyDescent="0.3">
      <c r="A55" s="8">
        <v>206</v>
      </c>
      <c r="B55" s="2" t="str">
        <f>_xlfn.CONCAT('Источник 1'!B55," ",'Источник 1'!C55)</f>
        <v>Krebs Petra</v>
      </c>
      <c r="C55" s="2" t="str">
        <f>VLOOKUP('Источник 1'!A55,'Источник 1'!A55:G286, 4,0)</f>
        <v>Consultant</v>
      </c>
      <c r="D55" s="2" t="str">
        <f>VLOOKUP('Источник 1'!A55,'Источник 1'!A55:G286,5,0)</f>
        <v>B77</v>
      </c>
      <c r="E55" s="2" t="str">
        <f>IF('Источник 1'!G55&gt;0,"YES","NO")</f>
        <v>YES</v>
      </c>
    </row>
    <row r="56" spans="1:5" x14ac:dyDescent="0.3">
      <c r="A56" s="8">
        <v>201</v>
      </c>
      <c r="B56" s="2" t="str">
        <f>_xlfn.CONCAT('Источник 1'!B56," ",'Источник 1'!C56)</f>
        <v>Becker Heike</v>
      </c>
      <c r="C56" s="2" t="str">
        <f>VLOOKUP('Источник 1'!A56,'Источник 1'!A56:G287, 4,0)</f>
        <v>Senior Manager</v>
      </c>
      <c r="D56" s="2" t="str">
        <f>VLOOKUP('Источник 1'!A56,'Источник 1'!A56:G287,5,0)</f>
        <v>B77</v>
      </c>
      <c r="E56" s="2" t="str">
        <f>IF('Источник 1'!G56&gt;0,"YES","NO")</f>
        <v>YES</v>
      </c>
    </row>
    <row r="57" spans="1:5" x14ac:dyDescent="0.3">
      <c r="A57" s="8">
        <v>211</v>
      </c>
      <c r="B57" s="2" t="str">
        <f>_xlfn.CONCAT('Источник 1'!B57," ",'Источник 1'!C57)</f>
        <v>Deneuve Nicole</v>
      </c>
      <c r="C57" s="2" t="str">
        <f>VLOOKUP('Источник 1'!A57,'Источник 1'!A57:G288, 4,0)</f>
        <v>Senior Manager</v>
      </c>
      <c r="D57" s="2" t="str">
        <f>VLOOKUP('Источник 1'!A57,'Источник 1'!A57:G288,5,0)</f>
        <v>B18</v>
      </c>
      <c r="E57" s="2" t="str">
        <f>IF('Источник 1'!G57&gt;0,"YES","NO")</f>
        <v>YES</v>
      </c>
    </row>
    <row r="58" spans="1:5" x14ac:dyDescent="0.3">
      <c r="A58" s="8">
        <v>212</v>
      </c>
      <c r="B58" s="2" t="str">
        <f>_xlfn.CONCAT('Источник 1'!B58," ",'Источник 1'!C58)</f>
        <v>Keller Louise</v>
      </c>
      <c r="C58" s="2" t="str">
        <f>VLOOKUP('Источник 1'!A58,'Источник 1'!A58:G289, 4,0)</f>
        <v>Consultant</v>
      </c>
      <c r="D58" s="2" t="str">
        <f>VLOOKUP('Источник 1'!A58,'Источник 1'!A58:G289,5,0)</f>
        <v>B18</v>
      </c>
      <c r="E58" s="2" t="str">
        <f>IF('Источник 1'!G58&gt;0,"YES","NO")</f>
        <v>NO</v>
      </c>
    </row>
    <row r="59" spans="1:5" x14ac:dyDescent="0.3">
      <c r="A59" s="8">
        <v>298</v>
      </c>
      <c r="B59" s="2" t="str">
        <f>_xlfn.CONCAT('Источник 1'!B59," ",'Источник 1'!C59)</f>
        <v>Sullivan Peter</v>
      </c>
      <c r="C59" s="2" t="str">
        <f>VLOOKUP('Источник 1'!A59,'Источник 1'!A59:G290, 4,0)</f>
        <v>Senior Manager</v>
      </c>
      <c r="D59" s="2" t="str">
        <f>VLOOKUP('Источник 1'!A59,'Источник 1'!A59:G290,5,0)</f>
        <v>B19</v>
      </c>
      <c r="E59" s="2" t="str">
        <f>IF('Источник 1'!G59&gt;0,"YES","NO")</f>
        <v>NO</v>
      </c>
    </row>
    <row r="60" spans="1:5" x14ac:dyDescent="0.3">
      <c r="A60" s="8">
        <v>250</v>
      </c>
      <c r="B60" s="2" t="str">
        <f>_xlfn.CONCAT('Источник 1'!B60," ",'Источник 1'!C60)</f>
        <v>McDonald Frank</v>
      </c>
      <c r="C60" s="2" t="str">
        <f>VLOOKUP('Источник 1'!A60,'Источник 1'!A60:G291, 4,0)</f>
        <v>Consultant</v>
      </c>
      <c r="D60" s="2" t="str">
        <f>VLOOKUP('Источник 1'!A60,'Источник 1'!A60:G291,5,0)</f>
        <v>B19</v>
      </c>
      <c r="E60" s="2" t="str">
        <f>IF('Источник 1'!G60&gt;0,"YES","NO")</f>
        <v>NO</v>
      </c>
    </row>
    <row r="61" spans="1:5" x14ac:dyDescent="0.3">
      <c r="A61" s="8">
        <v>260</v>
      </c>
      <c r="B61" s="2" t="str">
        <f>_xlfn.CONCAT('Источник 1'!B61," ",'Источник 1'!C61)</f>
        <v>Potocki Stanislav</v>
      </c>
      <c r="C61" s="2" t="str">
        <f>VLOOKUP('Источник 1'!A61,'Источник 1'!A61:G292, 4,0)</f>
        <v>Senior Manager</v>
      </c>
      <c r="D61" s="2" t="str">
        <f>VLOOKUP('Источник 1'!A61,'Источник 1'!A61:G292,5,0)</f>
        <v>B20</v>
      </c>
      <c r="E61" s="2" t="str">
        <f>IF('Источник 1'!G61&gt;0,"YES","NO")</f>
        <v>YES</v>
      </c>
    </row>
    <row r="62" spans="1:5" x14ac:dyDescent="0.3">
      <c r="A62" s="8">
        <v>255</v>
      </c>
      <c r="B62" s="2" t="str">
        <f>_xlfn.CONCAT('Источник 1'!B62," ",'Источник 1'!C62)</f>
        <v>Smyrna Olga</v>
      </c>
      <c r="C62" s="2" t="str">
        <f>VLOOKUP('Источник 1'!A62,'Источник 1'!A62:G293, 4,0)</f>
        <v>Consultant</v>
      </c>
      <c r="D62" s="2" t="str">
        <f>VLOOKUP('Источник 1'!A62,'Источник 1'!A62:G293,5,0)</f>
        <v>B20</v>
      </c>
      <c r="E62" s="2" t="str">
        <f>IF('Источник 1'!G62&gt;0,"YES","NO")</f>
        <v>NO</v>
      </c>
    </row>
    <row r="63" spans="1:5" x14ac:dyDescent="0.3">
      <c r="A63" s="8">
        <v>261</v>
      </c>
      <c r="B63" s="2" t="str">
        <f>_xlfn.CONCAT('Источник 1'!B63," ",'Источник 1'!C63)</f>
        <v>Shevchenko Andrej</v>
      </c>
      <c r="C63" s="2" t="str">
        <f>VLOOKUP('Источник 1'!A63,'Источник 1'!A63:G294, 4,0)</f>
        <v>Consultant</v>
      </c>
      <c r="D63" s="2" t="str">
        <f>VLOOKUP('Источник 1'!A63,'Источник 1'!A63:G294,5,0)</f>
        <v>B20</v>
      </c>
      <c r="E63" s="2" t="str">
        <f>IF('Источник 1'!G63&gt;0,"YES","NO")</f>
        <v>NO</v>
      </c>
    </row>
    <row r="64" spans="1:5" x14ac:dyDescent="0.3">
      <c r="A64" s="8">
        <v>252</v>
      </c>
      <c r="B64" s="2" t="str">
        <f>_xlfn.CONCAT('Источник 1'!B64," ",'Источник 1'!C64)</f>
        <v>OConnell Frank</v>
      </c>
      <c r="C64" s="2" t="str">
        <f>VLOOKUP('Источник 1'!A64,'Источник 1'!A64:G295, 4,0)</f>
        <v>Consultant</v>
      </c>
      <c r="D64" s="2" t="str">
        <f>VLOOKUP('Источник 1'!A64,'Источник 1'!A64:G295,5,0)</f>
        <v>B19</v>
      </c>
      <c r="E64" s="2" t="str">
        <f>IF('Источник 1'!G64&gt;0,"YES","NO")</f>
        <v>NO</v>
      </c>
    </row>
    <row r="65" spans="1:5" x14ac:dyDescent="0.3">
      <c r="A65" s="8">
        <v>352</v>
      </c>
      <c r="B65" s="2" t="str">
        <f>_xlfn.CONCAT('Источник 1'!B65," ",'Источник 1'!C65)</f>
        <v>Connolly Sean</v>
      </c>
      <c r="C65" s="2" t="str">
        <f>VLOOKUP('Источник 1'!A65,'Источник 1'!A65:G296, 4,0)</f>
        <v>Consultant</v>
      </c>
      <c r="D65" s="2" t="str">
        <f>VLOOKUP('Источник 1'!A65,'Источник 1'!A65:G296,5,0)</f>
        <v>B19</v>
      </c>
      <c r="E65" s="2" t="str">
        <f>IF('Источник 1'!G65&gt;0,"YES","NO")</f>
        <v>NO</v>
      </c>
    </row>
    <row r="66" spans="1:5" x14ac:dyDescent="0.3">
      <c r="A66" s="8">
        <v>272</v>
      </c>
      <c r="B66" s="2" t="str">
        <f>_xlfn.CONCAT('Источник 1'!B66," ",'Источник 1'!C66)</f>
        <v>OBrien James</v>
      </c>
      <c r="C66" s="2" t="str">
        <f>VLOOKUP('Источник 1'!A66,'Источник 1'!A66:G297, 4,0)</f>
        <v>Consultant</v>
      </c>
      <c r="D66" s="2" t="str">
        <f>VLOOKUP('Источник 1'!A66,'Источник 1'!A66:G297,5,0)</f>
        <v>B19</v>
      </c>
      <c r="E66" s="2" t="str">
        <f>IF('Источник 1'!G66&gt;0,"YES","NO")</f>
        <v>NO</v>
      </c>
    </row>
    <row r="67" spans="1:5" x14ac:dyDescent="0.3">
      <c r="A67" s="8">
        <v>288</v>
      </c>
      <c r="B67" s="2" t="str">
        <f>_xlfn.CONCAT('Источник 1'!B67," ",'Источник 1'!C67)</f>
        <v>Miller Marc</v>
      </c>
      <c r="C67" s="2" t="str">
        <f>VLOOKUP('Источник 1'!A67,'Источник 1'!A67:G298, 4,0)</f>
        <v>Consultant</v>
      </c>
      <c r="D67" s="2" t="str">
        <f>VLOOKUP('Источник 1'!A67,'Источник 1'!A67:G298,5,0)</f>
        <v>B01</v>
      </c>
      <c r="E67" s="2" t="str">
        <f>IF('Источник 1'!G67&gt;0,"YES","NO")</f>
        <v>YES</v>
      </c>
    </row>
    <row r="68" spans="1:5" x14ac:dyDescent="0.3">
      <c r="A68" s="8">
        <v>289</v>
      </c>
      <c r="B68" s="2" t="str">
        <f>_xlfn.CONCAT('Источник 1'!B68," ",'Источник 1'!C68)</f>
        <v>Nowak Zofia</v>
      </c>
      <c r="C68" s="2" t="str">
        <f>VLOOKUP('Источник 1'!A68,'Источник 1'!A68:G299, 4,0)</f>
        <v>Senior Manager</v>
      </c>
      <c r="D68" s="2" t="str">
        <f>VLOOKUP('Источник 1'!A68,'Источник 1'!A68:G299,5,0)</f>
        <v>B02</v>
      </c>
      <c r="E68" s="2" t="str">
        <f>IF('Источник 1'!G68&gt;0,"YES","NO")</f>
        <v>YES</v>
      </c>
    </row>
    <row r="69" spans="1:5" x14ac:dyDescent="0.3">
      <c r="A69" s="8">
        <v>290</v>
      </c>
      <c r="B69" s="2" t="str">
        <f>_xlfn.CONCAT('Источник 1'!B69," ",'Источник 1'!C69)</f>
        <v>Nowak Marja</v>
      </c>
      <c r="C69" s="2" t="str">
        <f>VLOOKUP('Источник 1'!A69,'Источник 1'!A69:G300, 4,0)</f>
        <v>Consultant</v>
      </c>
      <c r="D69" s="2" t="str">
        <f>VLOOKUP('Источник 1'!A69,'Источник 1'!A69:G300,5,0)</f>
        <v>B02</v>
      </c>
      <c r="E69" s="2" t="str">
        <f>IF('Источник 1'!G69&gt;0,"YES","NO")</f>
        <v>YES</v>
      </c>
    </row>
    <row r="70" spans="1:5" x14ac:dyDescent="0.3">
      <c r="A70" s="8">
        <v>291</v>
      </c>
      <c r="B70" s="2" t="str">
        <f>_xlfn.CONCAT('Источник 1'!B70," ",'Источник 1'!C70)</f>
        <v>Kaczmarek Piotr</v>
      </c>
      <c r="C70" s="2" t="str">
        <f>VLOOKUP('Источник 1'!A70,'Источник 1'!A70:G301, 4,0)</f>
        <v>Senior Manager</v>
      </c>
      <c r="D70" s="2" t="str">
        <f>VLOOKUP('Источник 1'!A70,'Источник 1'!A70:G301,5,0)</f>
        <v>B03</v>
      </c>
      <c r="E70" s="2" t="str">
        <f>IF('Источник 1'!G70&gt;0,"YES","NO")</f>
        <v>YES</v>
      </c>
    </row>
    <row r="71" spans="1:5" x14ac:dyDescent="0.3">
      <c r="A71" s="8">
        <v>292</v>
      </c>
      <c r="B71" s="2" t="str">
        <f>_xlfn.CONCAT('Источник 1'!B71," ",'Источник 1'!C71)</f>
        <v>Mazur Jan</v>
      </c>
      <c r="C71" s="2" t="str">
        <f>VLOOKUP('Источник 1'!A71,'Источник 1'!A71:G302, 4,0)</f>
        <v>Consultant</v>
      </c>
      <c r="D71" s="2" t="str">
        <f>VLOOKUP('Источник 1'!A71,'Источник 1'!A71:G302,5,0)</f>
        <v>B03</v>
      </c>
      <c r="E71" s="2" t="str">
        <f>IF('Источник 1'!G71&gt;0,"YES","NO")</f>
        <v>NO</v>
      </c>
    </row>
    <row r="72" spans="1:5" x14ac:dyDescent="0.3">
      <c r="A72" s="8">
        <v>293</v>
      </c>
      <c r="B72" s="2" t="str">
        <f>_xlfn.CONCAT('Источник 1'!B72," ",'Источник 1'!C72)</f>
        <v>Czaja Slawomir</v>
      </c>
      <c r="C72" s="2" t="str">
        <f>VLOOKUP('Источник 1'!A72,'Источник 1'!A72:G303, 4,0)</f>
        <v>Consultant</v>
      </c>
      <c r="D72" s="2" t="str">
        <f>VLOOKUP('Источник 1'!A72,'Источник 1'!A72:G303,5,0)</f>
        <v>B03</v>
      </c>
      <c r="E72" s="2" t="str">
        <f>IF('Источник 1'!G72&gt;0,"YES","NO")</f>
        <v>NO</v>
      </c>
    </row>
    <row r="73" spans="1:5" x14ac:dyDescent="0.3">
      <c r="A73" s="8">
        <v>294</v>
      </c>
      <c r="B73" s="2" t="str">
        <f>_xlfn.CONCAT('Источник 1'!B73," ",'Источник 1'!C73)</f>
        <v>Kowalski Marek</v>
      </c>
      <c r="C73" s="2" t="str">
        <f>VLOOKUP('Источник 1'!A73,'Источник 1'!A73:G304, 4,0)</f>
        <v>Consultant</v>
      </c>
      <c r="D73" s="2" t="str">
        <f>VLOOKUP('Источник 1'!A73,'Источник 1'!A73:G304,5,0)</f>
        <v>B03</v>
      </c>
      <c r="E73" s="2" t="str">
        <f>IF('Источник 1'!G73&gt;0,"YES","NO")</f>
        <v>NO</v>
      </c>
    </row>
    <row r="74" spans="1:5" x14ac:dyDescent="0.3">
      <c r="A74" s="8">
        <v>295</v>
      </c>
      <c r="B74" s="2" t="str">
        <f>_xlfn.CONCAT('Источник 1'!B74," ",'Источник 1'!C74)</f>
        <v>Kowalski Jan</v>
      </c>
      <c r="C74" s="2" t="str">
        <f>VLOOKUP('Источник 1'!A74,'Источник 1'!A74:G305, 4,0)</f>
        <v>Consultant</v>
      </c>
      <c r="D74" s="2" t="str">
        <f>VLOOKUP('Источник 1'!A74,'Источник 1'!A74:G305,5,0)</f>
        <v>B03</v>
      </c>
      <c r="E74" s="2" t="str">
        <f>IF('Источник 1'!G74&gt;0,"YES","NO")</f>
        <v>YES</v>
      </c>
    </row>
    <row r="75" spans="1:5" x14ac:dyDescent="0.3">
      <c r="A75" s="8">
        <v>296</v>
      </c>
      <c r="B75" s="2" t="str">
        <f>_xlfn.CONCAT('Источник 1'!B75," ",'Источник 1'!C75)</f>
        <v>Dzik Marzena</v>
      </c>
      <c r="C75" s="2" t="str">
        <f>VLOOKUP('Источник 1'!A75,'Источник 1'!A75:G306, 4,0)</f>
        <v>Software Analyst</v>
      </c>
      <c r="D75" s="2" t="str">
        <f>VLOOKUP('Источник 1'!A75,'Источник 1'!A75:G306,5,0)</f>
        <v>B03</v>
      </c>
      <c r="E75" s="2" t="str">
        <f>IF('Источник 1'!G75&gt;0,"YES","NO")</f>
        <v>NO</v>
      </c>
    </row>
    <row r="76" spans="1:5" x14ac:dyDescent="0.3">
      <c r="A76" s="8">
        <v>297</v>
      </c>
      <c r="B76" s="2" t="str">
        <f>_xlfn.CONCAT('Источник 1'!B76," ",'Источник 1'!C76)</f>
        <v>Kwiatkowski Tomasz</v>
      </c>
      <c r="C76" s="2" t="str">
        <f>VLOOKUP('Источник 1'!A76,'Источник 1'!A76:G307, 4,0)</f>
        <v>System Engineer</v>
      </c>
      <c r="D76" s="2" t="str">
        <f>VLOOKUP('Источник 1'!A76,'Источник 1'!A76:G307,5,0)</f>
        <v>B03</v>
      </c>
      <c r="E76" s="2" t="str">
        <f>IF('Источник 1'!G76&gt;0,"YES","NO")</f>
        <v>NO</v>
      </c>
    </row>
    <row r="77" spans="1:5" x14ac:dyDescent="0.3">
      <c r="A77" s="8">
        <v>1298</v>
      </c>
      <c r="B77" s="2" t="str">
        <f>_xlfn.CONCAT('Источник 1'!B77," ",'Источник 1'!C77)</f>
        <v>Wilk Iwona</v>
      </c>
      <c r="C77" s="2" t="str">
        <f>VLOOKUP('Источник 1'!A77,'Источник 1'!A77:G308, 4,0)</f>
        <v>Consultant</v>
      </c>
      <c r="D77" s="2" t="str">
        <f>VLOOKUP('Источник 1'!A77,'Источник 1'!A77:G308,5,0)</f>
        <v>B03</v>
      </c>
      <c r="E77" s="2" t="str">
        <f>IF('Источник 1'!G77&gt;0,"YES","NO")</f>
        <v>NO</v>
      </c>
    </row>
    <row r="78" spans="1:5" x14ac:dyDescent="0.3">
      <c r="A78" s="8">
        <v>299</v>
      </c>
      <c r="B78" s="2" t="str">
        <f>_xlfn.CONCAT('Источник 1'!B78," ",'Источник 1'!C78)</f>
        <v>Jaworska Grazyna</v>
      </c>
      <c r="C78" s="2" t="str">
        <f>VLOOKUP('Источник 1'!A78,'Источник 1'!A78:G309, 4,0)</f>
        <v>Software Analyst</v>
      </c>
      <c r="D78" s="2" t="str">
        <f>VLOOKUP('Источник 1'!A78,'Источник 1'!A78:G309,5,0)</f>
        <v>B03</v>
      </c>
      <c r="E78" s="2" t="str">
        <f>IF('Источник 1'!G78&gt;0,"YES","NO")</f>
        <v>YES</v>
      </c>
    </row>
    <row r="79" spans="1:5" x14ac:dyDescent="0.3">
      <c r="A79" s="8">
        <v>301</v>
      </c>
      <c r="B79" s="2" t="str">
        <f>_xlfn.CONCAT('Источник 1'!B79," ",'Источник 1'!C79)</f>
        <v>Wilczynska Elrzbieta</v>
      </c>
      <c r="C79" s="2" t="str">
        <f>VLOOKUP('Источник 1'!A79,'Источник 1'!A79:G310, 4,0)</f>
        <v>Project Manager</v>
      </c>
      <c r="D79" s="2" t="str">
        <f>VLOOKUP('Источник 1'!A79,'Источник 1'!A79:G310,5,0)</f>
        <v>B03</v>
      </c>
      <c r="E79" s="2" t="str">
        <f>IF('Источник 1'!G79&gt;0,"YES","NO")</f>
        <v>YES</v>
      </c>
    </row>
    <row r="80" spans="1:5" x14ac:dyDescent="0.3">
      <c r="A80" s="8">
        <v>399</v>
      </c>
      <c r="B80" s="2" t="str">
        <f>_xlfn.CONCAT('Источник 1'!B80," ",'Источник 1'!C80)</f>
        <v>Wilczynska-Popov Helena</v>
      </c>
      <c r="C80" s="2" t="str">
        <f>VLOOKUP('Источник 1'!A80,'Источник 1'!A80:G311, 4,0)</f>
        <v>Senior Manager</v>
      </c>
      <c r="D80" s="2" t="str">
        <f>VLOOKUP('Источник 1'!A80,'Источник 1'!A80:G311,5,0)</f>
        <v>B41</v>
      </c>
      <c r="E80" s="2" t="str">
        <f>IF('Источник 1'!G80&gt;0,"YES","NO")</f>
        <v>YES</v>
      </c>
    </row>
    <row r="81" spans="1:5" x14ac:dyDescent="0.3">
      <c r="A81" s="8">
        <v>401</v>
      </c>
      <c r="B81" s="2" t="str">
        <f>_xlfn.CONCAT('Источник 1'!B81," ",'Источник 1'!C81)</f>
        <v>Jankowski Kazimierz</v>
      </c>
      <c r="C81" s="2" t="str">
        <f>VLOOKUP('Источник 1'!A81,'Источник 1'!A81:G312, 4,0)</f>
        <v>Project Manager</v>
      </c>
      <c r="D81" s="2" t="str">
        <f>VLOOKUP('Источник 1'!A81,'Источник 1'!A81:G312,5,0)</f>
        <v>B41</v>
      </c>
      <c r="E81" s="2" t="str">
        <f>IF('Источник 1'!G81&gt;0,"YES","NO")</f>
        <v>YES</v>
      </c>
    </row>
    <row r="82" spans="1:5" x14ac:dyDescent="0.3">
      <c r="A82" s="8">
        <v>402</v>
      </c>
      <c r="B82" s="2" t="str">
        <f>_xlfn.CONCAT('Источник 1'!B82," ",'Источник 1'!C82)</f>
        <v>Zawacki Jan</v>
      </c>
      <c r="C82" s="2" t="str">
        <f>VLOOKUP('Источник 1'!A82,'Источник 1'!A82:G313, 4,0)</f>
        <v>Consultant</v>
      </c>
      <c r="D82" s="2" t="str">
        <f>VLOOKUP('Источник 1'!A82,'Источник 1'!A82:G313,5,0)</f>
        <v>B20</v>
      </c>
      <c r="E82" s="2" t="str">
        <f>IF('Источник 1'!G82&gt;0,"YES","NO")</f>
        <v>NO</v>
      </c>
    </row>
    <row r="83" spans="1:5" x14ac:dyDescent="0.3">
      <c r="A83" s="8">
        <v>501</v>
      </c>
      <c r="B83" s="2" t="str">
        <f>_xlfn.CONCAT('Источник 1'!B83," ",'Источник 1'!C83)</f>
        <v>Sokolov Ivan</v>
      </c>
      <c r="C83" s="2" t="str">
        <f>VLOOKUP('Источник 1'!A83,'Источник 1'!A83:G314, 4,0)</f>
        <v>Consultant</v>
      </c>
      <c r="D83" s="2" t="str">
        <f>VLOOKUP('Источник 1'!A83,'Источник 1'!A83:G314,5,0)</f>
        <v>B41</v>
      </c>
      <c r="E83" s="2" t="str">
        <f>IF('Источник 1'!G83&gt;0,"YES","NO")</f>
        <v>NO</v>
      </c>
    </row>
    <row r="84" spans="1:5" x14ac:dyDescent="0.3">
      <c r="A84" s="8">
        <v>502</v>
      </c>
      <c r="B84" s="2" t="str">
        <f>_xlfn.CONCAT('Источник 1'!B84," ",'Источник 1'!C84)</f>
        <v>Petrov Ivan</v>
      </c>
      <c r="C84" s="2" t="str">
        <f>VLOOKUP('Источник 1'!A84,'Источник 1'!A84:G315, 4,0)</f>
        <v>Consultant</v>
      </c>
      <c r="D84" s="2" t="str">
        <f>VLOOKUP('Источник 1'!A84,'Источник 1'!A84:G315,5,0)</f>
        <v>B41</v>
      </c>
      <c r="E84" s="2" t="str">
        <f>IF('Источник 1'!G84&gt;0,"YES","NO")</f>
        <v>NO</v>
      </c>
    </row>
    <row r="85" spans="1:5" x14ac:dyDescent="0.3">
      <c r="A85" s="8">
        <v>505</v>
      </c>
      <c r="B85" s="2" t="str">
        <f>_xlfn.CONCAT('Источник 1'!B85," ",'Источник 1'!C85)</f>
        <v>Bogdanov Ivan</v>
      </c>
      <c r="C85" s="2" t="str">
        <f>VLOOKUP('Источник 1'!A85,'Источник 1'!A85:G316, 4,0)</f>
        <v>Consultant</v>
      </c>
      <c r="D85" s="2" t="str">
        <f>VLOOKUP('Источник 1'!A85,'Источник 1'!A85:G316,5,0)</f>
        <v>B41</v>
      </c>
      <c r="E85" s="2" t="str">
        <f>IF('Источник 1'!G85&gt;0,"YES","NO")</f>
        <v>NO</v>
      </c>
    </row>
    <row r="86" spans="1:5" x14ac:dyDescent="0.3">
      <c r="A86" s="8">
        <v>503</v>
      </c>
      <c r="B86" s="2" t="str">
        <f>_xlfn.CONCAT('Источник 1'!B86," ",'Источник 1'!C86)</f>
        <v>Volkowa Swetlana</v>
      </c>
      <c r="C86" s="2" t="str">
        <f>VLOOKUP('Источник 1'!A86,'Источник 1'!A86:G317, 4,0)</f>
        <v>Consultant</v>
      </c>
      <c r="D86" s="2" t="str">
        <f>VLOOKUP('Источник 1'!A86,'Источник 1'!A86:G317,5,0)</f>
        <v>B41</v>
      </c>
      <c r="E86" s="2" t="str">
        <f>IF('Источник 1'!G86&gt;0,"YES","NO")</f>
        <v>YES</v>
      </c>
    </row>
    <row r="87" spans="1:5" x14ac:dyDescent="0.3">
      <c r="A87" s="8">
        <v>10348</v>
      </c>
      <c r="B87" s="2" t="str">
        <f>_xlfn.CONCAT('Источник 1'!B87," ",'Источник 1'!C87)</f>
        <v>Makowski John</v>
      </c>
      <c r="C87" s="2" t="str">
        <f>VLOOKUP('Источник 1'!A87,'Источник 1'!A87:G318, 4,0)</f>
        <v>Consultant</v>
      </c>
      <c r="D87" s="2" t="str">
        <f>VLOOKUP('Источник 1'!A87,'Источник 1'!A87:G318,5,0)</f>
        <v>B01</v>
      </c>
      <c r="E87" s="2" t="str">
        <f>IF('Источник 1'!G87&gt;0,"YES","NO")</f>
        <v>YES</v>
      </c>
    </row>
    <row r="88" spans="1:5" x14ac:dyDescent="0.3">
      <c r="A88" s="8">
        <v>10083</v>
      </c>
      <c r="B88" s="2" t="str">
        <f>_xlfn.CONCAT('Источник 1'!B88," ",'Источник 1'!C88)</f>
        <v>Nikolajewa Natasha</v>
      </c>
      <c r="C88" s="2" t="str">
        <f>VLOOKUP('Источник 1'!A88,'Источник 1'!A88:G319, 4,0)</f>
        <v>Programmer</v>
      </c>
      <c r="D88" s="2" t="str">
        <f>VLOOKUP('Источник 1'!A88,'Источник 1'!A88:G319,5,0)</f>
        <v>B41</v>
      </c>
      <c r="E88" s="2" t="str">
        <f>IF('Источник 1'!G88&gt;0,"YES","NO")</f>
        <v>YES</v>
      </c>
    </row>
    <row r="89" spans="1:5" x14ac:dyDescent="0.3">
      <c r="A89" s="8">
        <v>10082</v>
      </c>
      <c r="B89" s="2" t="str">
        <f>_xlfn.CONCAT('Источник 1'!B89," ",'Источник 1'!C89)</f>
        <v>Kuzniecowa Alla</v>
      </c>
      <c r="C89" s="2" t="str">
        <f>VLOOKUP('Источник 1'!A89,'Источник 1'!A89:G320, 4,0)</f>
        <v>Programmer</v>
      </c>
      <c r="D89" s="2" t="str">
        <f>VLOOKUP('Источник 1'!A89,'Источник 1'!A89:G320,5,0)</f>
        <v>B41</v>
      </c>
      <c r="E89" s="2" t="str">
        <f>IF('Источник 1'!G89&gt;0,"YES","NO")</f>
        <v>YES</v>
      </c>
    </row>
    <row r="90" spans="1:5" x14ac:dyDescent="0.3">
      <c r="A90" s="8">
        <v>11085</v>
      </c>
      <c r="B90" s="2" t="str">
        <f>_xlfn.CONCAT('Источник 1'!B90," ",'Источник 1'!C90)</f>
        <v>Czech Natalia</v>
      </c>
      <c r="C90" s="2" t="str">
        <f>VLOOKUP('Источник 1'!A90,'Источник 1'!A90:G321, 4,0)</f>
        <v>Programmer</v>
      </c>
      <c r="D90" s="2" t="str">
        <f>VLOOKUP('Источник 1'!A90,'Источник 1'!A90:G321,5,0)</f>
        <v>B03</v>
      </c>
      <c r="E90" s="2" t="str">
        <f>IF('Источник 1'!G90&gt;0,"YES","NO")</f>
        <v>YES</v>
      </c>
    </row>
    <row r="91" spans="1:5" x14ac:dyDescent="0.3">
      <c r="A91" s="8">
        <v>10085</v>
      </c>
      <c r="B91" s="2" t="str">
        <f>_xlfn.CONCAT('Источник 1'!B91," ",'Источник 1'!C91)</f>
        <v>Kukulska Anna</v>
      </c>
      <c r="C91" s="2" t="str">
        <f>VLOOKUP('Источник 1'!A91,'Источник 1'!A91:G322, 4,0)</f>
        <v>Programmer</v>
      </c>
      <c r="D91" s="2" t="str">
        <f>VLOOKUP('Источник 1'!A91,'Источник 1'!A91:G322,5,0)</f>
        <v>B03</v>
      </c>
      <c r="E91" s="2" t="str">
        <f>IF('Источник 1'!G91&gt;0,"YES","NO")</f>
        <v>YES</v>
      </c>
    </row>
    <row r="92" spans="1:5" x14ac:dyDescent="0.3">
      <c r="A92" s="8">
        <v>10086</v>
      </c>
      <c r="B92" s="2" t="str">
        <f>_xlfn.CONCAT('Источник 1'!B92," ",'Источник 1'!C92)</f>
        <v>Balog Eszter</v>
      </c>
      <c r="C92" s="2" t="str">
        <f>VLOOKUP('Источник 1'!A92,'Источник 1'!A92:G323, 4,0)</f>
        <v>Consultant</v>
      </c>
      <c r="D92" s="2" t="str">
        <f>VLOOKUP('Источник 1'!A92,'Источник 1'!A92:G323,5,0)</f>
        <v>B42</v>
      </c>
      <c r="E92" s="2" t="str">
        <f>IF('Источник 1'!G92&gt;0,"YES","NO")</f>
        <v>YES</v>
      </c>
    </row>
    <row r="93" spans="1:5" x14ac:dyDescent="0.3">
      <c r="A93" s="8">
        <v>10087</v>
      </c>
      <c r="B93" s="2" t="str">
        <f>_xlfn.CONCAT('Источник 1'!B93," ",'Источник 1'!C93)</f>
        <v>Kaminski Mariusz</v>
      </c>
      <c r="C93" s="2" t="str">
        <f>VLOOKUP('Источник 1'!A93,'Источник 1'!A93:G324, 4,0)</f>
        <v>Senior Manager</v>
      </c>
      <c r="D93" s="2" t="str">
        <f>VLOOKUP('Источник 1'!A93,'Источник 1'!A93:G324,5,0)</f>
        <v>B42</v>
      </c>
      <c r="E93" s="2" t="str">
        <f>IF('Источник 1'!G93&gt;0,"YES","NO")</f>
        <v>NO</v>
      </c>
    </row>
    <row r="94" spans="1:5" x14ac:dyDescent="0.3">
      <c r="A94" s="8">
        <v>10088</v>
      </c>
      <c r="B94" s="2" t="str">
        <f>_xlfn.CONCAT('Источник 1'!B94," ",'Источник 1'!C94)</f>
        <v>Gwiazda Anna</v>
      </c>
      <c r="C94" s="2" t="str">
        <f>VLOOKUP('Источник 1'!A94,'Источник 1'!A94:G325, 4,0)</f>
        <v>Programmer</v>
      </c>
      <c r="D94" s="2" t="str">
        <f>VLOOKUP('Источник 1'!A94,'Источник 1'!A94:G325,5,0)</f>
        <v>B03</v>
      </c>
      <c r="E94" s="2" t="str">
        <f>IF('Источник 1'!G94&gt;0,"YES","NO")</f>
        <v>NO</v>
      </c>
    </row>
    <row r="95" spans="1:5" x14ac:dyDescent="0.3">
      <c r="A95" s="8">
        <v>10089</v>
      </c>
      <c r="B95" s="2" t="str">
        <f>_xlfn.CONCAT('Источник 1'!B95," ",'Источник 1'!C95)</f>
        <v>Gwiazda Piotr</v>
      </c>
      <c r="C95" s="2" t="str">
        <f>VLOOKUP('Источник 1'!A95,'Источник 1'!A95:G326, 4,0)</f>
        <v>Project Manager</v>
      </c>
      <c r="D95" s="2" t="str">
        <f>VLOOKUP('Источник 1'!A95,'Источник 1'!A95:G326,5,0)</f>
        <v>B03</v>
      </c>
      <c r="E95" s="2" t="str">
        <f>IF('Источник 1'!G95&gt;0,"YES","NO")</f>
        <v>YES</v>
      </c>
    </row>
    <row r="96" spans="1:5" x14ac:dyDescent="0.3">
      <c r="A96" s="8">
        <v>19349</v>
      </c>
      <c r="B96" s="2" t="str">
        <f>_xlfn.CONCAT('Источник 1'!B96," ",'Источник 1'!C96)</f>
        <v>Adams John</v>
      </c>
      <c r="C96" s="2" t="str">
        <f>VLOOKUP('Источник 1'!A96,'Источник 1'!A96:G327, 4,0)</f>
        <v>Programmer</v>
      </c>
      <c r="D96" s="2" t="str">
        <f>VLOOKUP('Источник 1'!A96,'Источник 1'!A96:G327,5,0)</f>
        <v>B01</v>
      </c>
      <c r="E96" s="2" t="str">
        <f>IF('Источник 1'!G96&gt;0,"YES","NO")</f>
        <v>NO</v>
      </c>
    </row>
    <row r="97" spans="1:5" x14ac:dyDescent="0.3">
      <c r="A97" s="8">
        <v>19359</v>
      </c>
      <c r="B97" s="2" t="str">
        <f>_xlfn.CONCAT('Источник 1'!B97," ",'Источник 1'!C97)</f>
        <v>Gomez John</v>
      </c>
      <c r="C97" s="2" t="str">
        <f>VLOOKUP('Источник 1'!A97,'Источник 1'!A97:G328, 4,0)</f>
        <v>Programmer</v>
      </c>
      <c r="D97" s="2" t="str">
        <f>VLOOKUP('Источник 1'!A97,'Источник 1'!A97:G328,5,0)</f>
        <v>B01</v>
      </c>
      <c r="E97" s="2" t="str">
        <f>IF('Источник 1'!G97&gt;0,"YES","NO")</f>
        <v>NO</v>
      </c>
    </row>
    <row r="98" spans="1:5" x14ac:dyDescent="0.3">
      <c r="A98" s="8">
        <v>19369</v>
      </c>
      <c r="B98" s="2" t="str">
        <f>_xlfn.CONCAT('Источник 1'!B98," ",'Источник 1'!C98)</f>
        <v>Martinez John</v>
      </c>
      <c r="C98" s="2" t="str">
        <f>VLOOKUP('Источник 1'!A98,'Источник 1'!A98:G329, 4,0)</f>
        <v>Programmer</v>
      </c>
      <c r="D98" s="2" t="str">
        <f>VLOOKUP('Источник 1'!A98,'Источник 1'!A98:G329,5,0)</f>
        <v>B01</v>
      </c>
      <c r="E98" s="2" t="str">
        <f>IF('Источник 1'!G98&gt;0,"YES","NO")</f>
        <v>NO</v>
      </c>
    </row>
    <row r="99" spans="1:5" x14ac:dyDescent="0.3">
      <c r="A99" s="8">
        <v>19459</v>
      </c>
      <c r="B99" s="2" t="str">
        <f>_xlfn.CONCAT('Источник 1'!B99," ",'Источник 1'!C99)</f>
        <v>Gonzalez Pedro</v>
      </c>
      <c r="C99" s="2" t="str">
        <f>VLOOKUP('Источник 1'!A99,'Источник 1'!A99:G330, 4,0)</f>
        <v>Programmer</v>
      </c>
      <c r="D99" s="2" t="str">
        <f>VLOOKUP('Источник 1'!A99,'Источник 1'!A99:G330,5,0)</f>
        <v>B01</v>
      </c>
      <c r="E99" s="2" t="str">
        <f>IF('Источник 1'!G99&gt;0,"YES","NO")</f>
        <v>NO</v>
      </c>
    </row>
    <row r="100" spans="1:5" x14ac:dyDescent="0.3">
      <c r="A100" s="8">
        <v>18369</v>
      </c>
      <c r="B100" s="2" t="str">
        <f>_xlfn.CONCAT('Источник 1'!B100," ",'Источник 1'!C100)</f>
        <v>Martinez Mario</v>
      </c>
      <c r="C100" s="2" t="str">
        <f>VLOOKUP('Источник 1'!A100,'Источник 1'!A100:G331, 4,0)</f>
        <v>Programmer</v>
      </c>
      <c r="D100" s="2" t="str">
        <f>VLOOKUP('Источник 1'!A100,'Источник 1'!A100:G331,5,0)</f>
        <v>B01</v>
      </c>
      <c r="E100" s="2" t="str">
        <f>IF('Источник 1'!G100&gt;0,"YES","NO")</f>
        <v>NO</v>
      </c>
    </row>
    <row r="101" spans="1:5" x14ac:dyDescent="0.3">
      <c r="A101" s="8">
        <v>10090</v>
      </c>
      <c r="B101" s="2" t="str">
        <f>_xlfn.CONCAT('Источник 1'!B101," ",'Источник 1'!C101)</f>
        <v>Jelen Maryla</v>
      </c>
      <c r="C101" s="2" t="str">
        <f>VLOOKUP('Источник 1'!A101,'Источник 1'!A101:G332, 4,0)</f>
        <v>Programmer</v>
      </c>
      <c r="D101" s="2" t="str">
        <f>VLOOKUP('Источник 1'!A101,'Источник 1'!A101:G332,5,0)</f>
        <v>B03</v>
      </c>
      <c r="E101" s="2" t="str">
        <f>IF('Источник 1'!G101&gt;0,"YES","NO")</f>
        <v>NO</v>
      </c>
    </row>
    <row r="102" spans="1:5" x14ac:dyDescent="0.3">
      <c r="A102" s="8">
        <v>10091</v>
      </c>
      <c r="B102" s="2" t="str">
        <f>_xlfn.CONCAT('Источник 1'!B102," ",'Источник 1'!C102)</f>
        <v>Zielonka Wioletta</v>
      </c>
      <c r="C102" s="2" t="str">
        <f>VLOOKUP('Источник 1'!A102,'Источник 1'!A102:G333, 4,0)</f>
        <v>Programmer</v>
      </c>
      <c r="D102" s="2" t="str">
        <f>VLOOKUP('Источник 1'!A102,'Источник 1'!A102:G333,5,0)</f>
        <v>B03</v>
      </c>
      <c r="E102" s="2" t="str">
        <f>IF('Источник 1'!G102&gt;0,"YES","NO")</f>
        <v>YES</v>
      </c>
    </row>
    <row r="103" spans="1:5" x14ac:dyDescent="0.3">
      <c r="A103" s="8">
        <v>10092</v>
      </c>
      <c r="B103" s="2" t="str">
        <f>_xlfn.CONCAT('Источник 1'!B103," ",'Источник 1'!C103)</f>
        <v>Silwer Mateusz</v>
      </c>
      <c r="C103" s="2" t="str">
        <f>VLOOKUP('Источник 1'!A103,'Источник 1'!A103:G334, 4,0)</f>
        <v>Senior Manager</v>
      </c>
      <c r="D103" s="2" t="str">
        <f>VLOOKUP('Источник 1'!A103,'Источник 1'!A103:G334,5,0)</f>
        <v>B43</v>
      </c>
      <c r="E103" s="2" t="str">
        <f>IF('Источник 1'!G103&gt;0,"YES","NO")</f>
        <v>NO</v>
      </c>
    </row>
    <row r="104" spans="1:5" x14ac:dyDescent="0.3">
      <c r="A104" s="8">
        <v>10093</v>
      </c>
      <c r="B104" s="2" t="str">
        <f>_xlfn.CONCAT('Источник 1'!B104," ",'Источник 1'!C104)</f>
        <v>Horvat Darko</v>
      </c>
      <c r="C104" s="2" t="str">
        <f>VLOOKUP('Источник 1'!A104,'Источник 1'!A104:G335, 4,0)</f>
        <v>Consultant</v>
      </c>
      <c r="D104" s="2" t="str">
        <f>VLOOKUP('Источник 1'!A104,'Источник 1'!A104:G335,5,0)</f>
        <v>B43</v>
      </c>
      <c r="E104" s="2" t="str">
        <f>IF('Источник 1'!G104&gt;0,"YES","NO")</f>
        <v>NO</v>
      </c>
    </row>
    <row r="105" spans="1:5" x14ac:dyDescent="0.3">
      <c r="A105" s="8">
        <v>10094</v>
      </c>
      <c r="B105" s="2" t="str">
        <f>_xlfn.CONCAT('Источник 1'!B105," ",'Источник 1'!C105)</f>
        <v>Golob Slavko</v>
      </c>
      <c r="C105" s="2" t="str">
        <f>VLOOKUP('Источник 1'!A105,'Источник 1'!A105:G336, 4,0)</f>
        <v>Consultant</v>
      </c>
      <c r="D105" s="2" t="str">
        <f>VLOOKUP('Источник 1'!A105,'Источник 1'!A105:G336,5,0)</f>
        <v>B43</v>
      </c>
      <c r="E105" s="2" t="str">
        <f>IF('Источник 1'!G105&gt;0,"YES","NO")</f>
        <v>NO</v>
      </c>
    </row>
    <row r="106" spans="1:5" x14ac:dyDescent="0.3">
      <c r="A106" s="8">
        <v>10095</v>
      </c>
      <c r="B106" s="2" t="str">
        <f>_xlfn.CONCAT('Источник 1'!B106," ",'Источник 1'!C106)</f>
        <v>Piotrowski Stefan</v>
      </c>
      <c r="C106" s="2" t="str">
        <f>VLOOKUP('Источник 1'!A106,'Источник 1'!A106:G337, 4,0)</f>
        <v>Programmer</v>
      </c>
      <c r="D106" s="2" t="str">
        <f>VLOOKUP('Источник 1'!A106,'Источник 1'!A106:G337,5,0)</f>
        <v>B03</v>
      </c>
      <c r="E106" s="2" t="str">
        <f>IF('Источник 1'!G106&gt;0,"YES","NO")</f>
        <v>NO</v>
      </c>
    </row>
    <row r="107" spans="1:5" x14ac:dyDescent="0.3">
      <c r="A107" s="8">
        <v>10096</v>
      </c>
      <c r="B107" s="2" t="str">
        <f>_xlfn.CONCAT('Источник 1'!B107," ",'Источник 1'!C107)</f>
        <v>Bialy Andrzej</v>
      </c>
      <c r="C107" s="2" t="str">
        <f>VLOOKUP('Источник 1'!A107,'Источник 1'!A107:G338, 4,0)</f>
        <v>Project Manager</v>
      </c>
      <c r="D107" s="2" t="str">
        <f>VLOOKUP('Источник 1'!A107,'Источник 1'!A107:G338,5,0)</f>
        <v>B03</v>
      </c>
      <c r="E107" s="2" t="str">
        <f>IF('Источник 1'!G107&gt;0,"YES","NO")</f>
        <v>NO</v>
      </c>
    </row>
    <row r="108" spans="1:5" x14ac:dyDescent="0.3">
      <c r="A108" s="8">
        <v>10097</v>
      </c>
      <c r="B108" s="2" t="str">
        <f>_xlfn.CONCAT('Источник 1'!B108," ",'Источник 1'!C108)</f>
        <v>Kaufman Josef</v>
      </c>
      <c r="C108" s="2" t="str">
        <f>VLOOKUP('Источник 1'!A108,'Источник 1'!A108:G339, 4,0)</f>
        <v>Programmer</v>
      </c>
      <c r="D108" s="2" t="str">
        <f>VLOOKUP('Источник 1'!A108,'Источник 1'!A108:G339,5,0)</f>
        <v>B01</v>
      </c>
      <c r="E108" s="2" t="str">
        <f>IF('Источник 1'!G108&gt;0,"YES","NO")</f>
        <v>NO</v>
      </c>
    </row>
    <row r="109" spans="1:5" x14ac:dyDescent="0.3">
      <c r="A109" s="8">
        <v>10098</v>
      </c>
      <c r="B109" s="2" t="str">
        <f>_xlfn.CONCAT('Источник 1'!B109," ",'Источник 1'!C109)</f>
        <v>Smith Valerie</v>
      </c>
      <c r="C109" s="2" t="str">
        <f>VLOOKUP('Источник 1'!A109,'Источник 1'!A109:G340, 4,0)</f>
        <v>Programmer</v>
      </c>
      <c r="D109" s="2" t="str">
        <f>VLOOKUP('Источник 1'!A109,'Источник 1'!A109:G340,5,0)</f>
        <v>B01</v>
      </c>
      <c r="E109" s="2" t="str">
        <f>IF('Источник 1'!G109&gt;0,"YES","NO")</f>
        <v>NO</v>
      </c>
    </row>
    <row r="110" spans="1:5" x14ac:dyDescent="0.3">
      <c r="A110" s="8">
        <v>10099</v>
      </c>
      <c r="B110" s="2" t="str">
        <f>_xlfn.CONCAT('Источник 1'!B110," ",'Источник 1'!C110)</f>
        <v>Bogucki Piotr</v>
      </c>
      <c r="C110" s="2" t="str">
        <f>VLOOKUP('Источник 1'!A110,'Источник 1'!A110:G341, 4,0)</f>
        <v>Project Manager</v>
      </c>
      <c r="D110" s="2" t="str">
        <f>VLOOKUP('Источник 1'!A110,'Источник 1'!A110:G341,5,0)</f>
        <v>B03</v>
      </c>
      <c r="E110" s="2" t="str">
        <f>IF('Источник 1'!G110&gt;0,"YES","NO")</f>
        <v>YES</v>
      </c>
    </row>
    <row r="111" spans="1:5" x14ac:dyDescent="0.3">
      <c r="A111" s="8">
        <v>10100</v>
      </c>
      <c r="B111" s="2" t="str">
        <f>_xlfn.CONCAT('Источник 1'!B111," ",'Источник 1'!C111)</f>
        <v>Gomez Antonio</v>
      </c>
      <c r="C111" s="2" t="str">
        <f>VLOOKUP('Источник 1'!A111,'Источник 1'!A111:G342, 4,0)</f>
        <v>Senior Manager</v>
      </c>
      <c r="D111" s="2" t="str">
        <f>VLOOKUP('Источник 1'!A111,'Источник 1'!A111:G342,5,0)</f>
        <v>B44</v>
      </c>
      <c r="E111" s="2" t="str">
        <f>IF('Источник 1'!G111&gt;0,"YES","NO")</f>
        <v>YES</v>
      </c>
    </row>
    <row r="112" spans="1:5" x14ac:dyDescent="0.3">
      <c r="A112" s="8">
        <v>10101</v>
      </c>
      <c r="B112" s="2" t="str">
        <f>_xlfn.CONCAT('Источник 1'!B112," ",'Источник 1'!C112)</f>
        <v>Ruiz Pablo</v>
      </c>
      <c r="C112" s="2" t="str">
        <f>VLOOKUP('Источник 1'!A112,'Источник 1'!A112:G343, 4,0)</f>
        <v>Consultant</v>
      </c>
      <c r="D112" s="2" t="str">
        <f>VLOOKUP('Источник 1'!A112,'Источник 1'!A112:G343,5,0)</f>
        <v>B44</v>
      </c>
      <c r="E112" s="2" t="str">
        <f>IF('Источник 1'!G112&gt;0,"YES","NO")</f>
        <v>YES</v>
      </c>
    </row>
    <row r="113" spans="1:5" x14ac:dyDescent="0.3">
      <c r="A113" s="8">
        <v>10102</v>
      </c>
      <c r="B113" s="2" t="str">
        <f>_xlfn.CONCAT('Источник 1'!B113," ",'Источник 1'!C113)</f>
        <v>Diaz Alfredo</v>
      </c>
      <c r="C113" s="2" t="str">
        <f>VLOOKUP('Источник 1'!A113,'Источник 1'!A113:G344, 4,0)</f>
        <v>Consultant</v>
      </c>
      <c r="D113" s="2" t="str">
        <f>VLOOKUP('Источник 1'!A113,'Источник 1'!A113:G344,5,0)</f>
        <v>B44</v>
      </c>
      <c r="E113" s="2" t="str">
        <f>IF('Источник 1'!G113&gt;0,"YES","NO")</f>
        <v>YES</v>
      </c>
    </row>
    <row r="114" spans="1:5" x14ac:dyDescent="0.3">
      <c r="A114" s="8">
        <v>10103</v>
      </c>
      <c r="B114" s="2" t="str">
        <f>_xlfn.CONCAT('Источник 1'!B114," ",'Источник 1'!C114)</f>
        <v>Babicz Monika</v>
      </c>
      <c r="C114" s="2" t="str">
        <f>VLOOKUP('Источник 1'!A114,'Источник 1'!A114:G345, 4,0)</f>
        <v>Programmer</v>
      </c>
      <c r="D114" s="2" t="str">
        <f>VLOOKUP('Источник 1'!A114,'Источник 1'!A114:G345,5,0)</f>
        <v>B03</v>
      </c>
      <c r="E114" s="2" t="str">
        <f>IF('Источник 1'!G114&gt;0,"YES","NO")</f>
        <v>NO</v>
      </c>
    </row>
    <row r="115" spans="1:5" x14ac:dyDescent="0.3">
      <c r="A115" s="8">
        <v>10104</v>
      </c>
      <c r="B115" s="2" t="str">
        <f>_xlfn.CONCAT('Источник 1'!B115," ",'Источник 1'!C115)</f>
        <v>Moreno Alfredo</v>
      </c>
      <c r="C115" s="2" t="str">
        <f>VLOOKUP('Источник 1'!A115,'Источник 1'!A115:G346, 4,0)</f>
        <v>Consultant</v>
      </c>
      <c r="D115" s="2" t="str">
        <f>VLOOKUP('Источник 1'!A115,'Источник 1'!A115:G346,5,0)</f>
        <v>B44</v>
      </c>
      <c r="E115" s="2" t="str">
        <f>IF('Источник 1'!G115&gt;0,"YES","NO")</f>
        <v>YES</v>
      </c>
    </row>
    <row r="116" spans="1:5" x14ac:dyDescent="0.3">
      <c r="A116" s="8">
        <v>10105</v>
      </c>
      <c r="B116" s="2" t="str">
        <f>_xlfn.CONCAT('Источник 1'!B116," ",'Источник 1'!C116)</f>
        <v>Romero Pablo</v>
      </c>
      <c r="C116" s="2" t="str">
        <f>VLOOKUP('Источник 1'!A116,'Источник 1'!A116:G347, 4,0)</f>
        <v>Consultant</v>
      </c>
      <c r="D116" s="2" t="str">
        <f>VLOOKUP('Источник 1'!A116,'Источник 1'!A116:G347,5,0)</f>
        <v>B44</v>
      </c>
      <c r="E116" s="2" t="str">
        <f>IF('Источник 1'!G116&gt;0,"YES","NO")</f>
        <v>NO</v>
      </c>
    </row>
    <row r="117" spans="1:5" x14ac:dyDescent="0.3">
      <c r="A117" s="8">
        <v>10106</v>
      </c>
      <c r="B117" s="2" t="str">
        <f>_xlfn.CONCAT('Источник 1'!B117," ",'Источник 1'!C117)</f>
        <v>Jones Luc</v>
      </c>
      <c r="C117" s="2" t="str">
        <f>VLOOKUP('Источник 1'!A117,'Источник 1'!A117:G348, 4,0)</f>
        <v>Programmer</v>
      </c>
      <c r="D117" s="2" t="str">
        <f>VLOOKUP('Источник 1'!A117,'Источник 1'!A117:G348,5,0)</f>
        <v>B01</v>
      </c>
      <c r="E117" s="2" t="str">
        <f>IF('Источник 1'!G117&gt;0,"YES","NO")</f>
        <v>NO</v>
      </c>
    </row>
    <row r="118" spans="1:5" x14ac:dyDescent="0.3">
      <c r="A118" s="8">
        <v>10107</v>
      </c>
      <c r="B118" s="2" t="str">
        <f>_xlfn.CONCAT('Источник 1'!B118," ",'Источник 1'!C118)</f>
        <v>Williams Andrea</v>
      </c>
      <c r="C118" s="2" t="str">
        <f>VLOOKUP('Источник 1'!A118,'Источник 1'!A118:G349, 4,0)</f>
        <v>Programmer</v>
      </c>
      <c r="D118" s="2" t="str">
        <f>VLOOKUP('Источник 1'!A118,'Источник 1'!A118:G349,5,0)</f>
        <v>B01</v>
      </c>
      <c r="E118" s="2" t="str">
        <f>IF('Источник 1'!G118&gt;0,"YES","NO")</f>
        <v>NO</v>
      </c>
    </row>
    <row r="119" spans="1:5" x14ac:dyDescent="0.3">
      <c r="A119" s="8">
        <v>10108</v>
      </c>
      <c r="B119" s="2" t="str">
        <f>_xlfn.CONCAT('Источник 1'!B119," ",'Источник 1'!C119)</f>
        <v>Adams William</v>
      </c>
      <c r="C119" s="2" t="str">
        <f>VLOOKUP('Источник 1'!A119,'Источник 1'!A119:G350, 4,0)</f>
        <v>Programmer</v>
      </c>
      <c r="D119" s="2" t="str">
        <f>VLOOKUP('Источник 1'!A119,'Источник 1'!A119:G350,5,0)</f>
        <v>B01</v>
      </c>
      <c r="E119" s="2" t="str">
        <f>IF('Источник 1'!G119&gt;0,"YES","NO")</f>
        <v>NO</v>
      </c>
    </row>
    <row r="120" spans="1:5" x14ac:dyDescent="0.3">
      <c r="A120" s="8">
        <v>10109</v>
      </c>
      <c r="B120" s="2" t="str">
        <f>_xlfn.CONCAT('Источник 1'!B120," ",'Источник 1'!C120)</f>
        <v>Romero Luciana</v>
      </c>
      <c r="C120" s="2" t="str">
        <f>VLOOKUP('Источник 1'!A120,'Источник 1'!A120:G351, 4,0)</f>
        <v>Consultant</v>
      </c>
      <c r="D120" s="2" t="str">
        <f>VLOOKUP('Источник 1'!A120,'Источник 1'!A120:G351,5,0)</f>
        <v>B44</v>
      </c>
      <c r="E120" s="2" t="str">
        <f>IF('Источник 1'!G120&gt;0,"YES","NO")</f>
        <v>NO</v>
      </c>
    </row>
    <row r="121" spans="1:5" x14ac:dyDescent="0.3">
      <c r="A121" s="8">
        <v>10110</v>
      </c>
      <c r="B121" s="2" t="str">
        <f>_xlfn.CONCAT('Источник 1'!B121," ",'Источник 1'!C121)</f>
        <v>Molina Isabel</v>
      </c>
      <c r="C121" s="2" t="str">
        <f>VLOOKUP('Источник 1'!A121,'Источник 1'!A121:G352, 4,0)</f>
        <v>Software Analyst</v>
      </c>
      <c r="D121" s="2" t="str">
        <f>VLOOKUP('Источник 1'!A121,'Источник 1'!A121:G352,5,0)</f>
        <v>B44</v>
      </c>
      <c r="E121" s="2" t="str">
        <f>IF('Источник 1'!G121&gt;0,"YES","NO")</f>
        <v>NO</v>
      </c>
    </row>
    <row r="122" spans="1:5" x14ac:dyDescent="0.3">
      <c r="A122" s="8">
        <v>10111</v>
      </c>
      <c r="B122" s="2" t="str">
        <f>_xlfn.CONCAT('Источник 1'!B122," ",'Источник 1'!C122)</f>
        <v>Szymanska Laura</v>
      </c>
      <c r="C122" s="2" t="str">
        <f>VLOOKUP('Источник 1'!A122,'Источник 1'!A122:G353, 4,0)</f>
        <v>Senior Manager</v>
      </c>
      <c r="D122" s="2" t="str">
        <f>VLOOKUP('Источник 1'!A122,'Источник 1'!A122:G353,5,0)</f>
        <v>B45</v>
      </c>
      <c r="E122" s="2" t="str">
        <f>IF('Источник 1'!G122&gt;0,"YES","NO")</f>
        <v>YES</v>
      </c>
    </row>
    <row r="123" spans="1:5" x14ac:dyDescent="0.3">
      <c r="A123" s="8">
        <v>10112</v>
      </c>
      <c r="B123" s="2" t="str">
        <f>_xlfn.CONCAT('Источник 1'!B123," ",'Источник 1'!C123)</f>
        <v>Gomez Debra</v>
      </c>
      <c r="C123" s="2" t="str">
        <f>VLOOKUP('Источник 1'!A123,'Источник 1'!A123:G354, 4,0)</f>
        <v>Consultant</v>
      </c>
      <c r="D123" s="2" t="str">
        <f>VLOOKUP('Источник 1'!A123,'Источник 1'!A123:G354,5,0)</f>
        <v>B45</v>
      </c>
      <c r="E123" s="2" t="str">
        <f>IF('Источник 1'!G123&gt;0,"YES","NO")</f>
        <v>YES</v>
      </c>
    </row>
    <row r="124" spans="1:5" x14ac:dyDescent="0.3">
      <c r="A124" s="8">
        <v>10113</v>
      </c>
      <c r="B124" s="2" t="str">
        <f>_xlfn.CONCAT('Источник 1'!B124," ",'Источник 1'!C124)</f>
        <v>Goldman William</v>
      </c>
      <c r="C124" s="2" t="str">
        <f>VLOOKUP('Источник 1'!A124,'Источник 1'!A124:G355, 4,0)</f>
        <v>Senior Manager</v>
      </c>
      <c r="D124" s="2" t="str">
        <f>VLOOKUP('Источник 1'!A124,'Источник 1'!A124:G355,5,0)</f>
        <v>B46</v>
      </c>
      <c r="E124" s="2" t="str">
        <f>IF('Источник 1'!G124&gt;0,"YES","NO")</f>
        <v>NO</v>
      </c>
    </row>
    <row r="125" spans="1:5" x14ac:dyDescent="0.3">
      <c r="A125" s="8">
        <v>10114</v>
      </c>
      <c r="B125" s="2" t="str">
        <f>_xlfn.CONCAT('Источник 1'!B125," ",'Источник 1'!C125)</f>
        <v>Delgardo Olga</v>
      </c>
      <c r="C125" s="2" t="str">
        <f>VLOOKUP('Источник 1'!A125,'Источник 1'!A125:G356, 4,0)</f>
        <v>Consultant</v>
      </c>
      <c r="D125" s="2" t="str">
        <f>VLOOKUP('Источник 1'!A125,'Источник 1'!A125:G356,5,0)</f>
        <v>B46</v>
      </c>
      <c r="E125" s="2" t="str">
        <f>IF('Источник 1'!G125&gt;0,"YES","NO")</f>
        <v>NO</v>
      </c>
    </row>
    <row r="126" spans="1:5" x14ac:dyDescent="0.3">
      <c r="A126" s="8">
        <v>10115</v>
      </c>
      <c r="B126" s="2" t="str">
        <f>_xlfn.CONCAT('Источник 1'!B126," ",'Источник 1'!C126)</f>
        <v>Adams Frank</v>
      </c>
      <c r="C126" s="2" t="str">
        <f>VLOOKUP('Источник 1'!A126,'Источник 1'!A126:G357, 4,0)</f>
        <v>Programmer</v>
      </c>
      <c r="D126" s="2" t="str">
        <f>VLOOKUP('Источник 1'!A126,'Источник 1'!A126:G357,5,0)</f>
        <v>B01</v>
      </c>
      <c r="E126" s="2" t="str">
        <f>IF('Источник 1'!G126&gt;0,"YES","NO")</f>
        <v>NO</v>
      </c>
    </row>
    <row r="127" spans="1:5" x14ac:dyDescent="0.3">
      <c r="A127" s="8">
        <v>10116</v>
      </c>
      <c r="B127" s="2" t="str">
        <f>_xlfn.CONCAT('Источник 1'!B127," ",'Источник 1'!C127)</f>
        <v>Kowal Wladyslaw</v>
      </c>
      <c r="C127" s="2" t="str">
        <f>VLOOKUP('Источник 1'!A127,'Источник 1'!A127:G358, 4,0)</f>
        <v>Project Manager</v>
      </c>
      <c r="D127" s="2" t="str">
        <f>VLOOKUP('Источник 1'!A127,'Источник 1'!A127:G358,5,0)</f>
        <v>B03</v>
      </c>
      <c r="E127" s="2" t="str">
        <f>IF('Источник 1'!G127&gt;0,"YES","NO")</f>
        <v>NO</v>
      </c>
    </row>
    <row r="128" spans="1:5" x14ac:dyDescent="0.3">
      <c r="A128" s="8">
        <v>10117</v>
      </c>
      <c r="B128" s="2" t="str">
        <f>_xlfn.CONCAT('Источник 1'!B128," ",'Источник 1'!C128)</f>
        <v>Lis Adam</v>
      </c>
      <c r="C128" s="2" t="str">
        <f>VLOOKUP('Источник 1'!A128,'Источник 1'!A128:G359, 4,0)</f>
        <v>Programmer</v>
      </c>
      <c r="D128" s="2" t="str">
        <f>VLOOKUP('Источник 1'!A128,'Источник 1'!A128:G359,5,0)</f>
        <v>B47</v>
      </c>
      <c r="E128" s="2" t="str">
        <f>IF('Источник 1'!G128&gt;0,"YES","NO")</f>
        <v>NO</v>
      </c>
    </row>
    <row r="129" spans="1:5" x14ac:dyDescent="0.3">
      <c r="A129" s="8">
        <v>10118</v>
      </c>
      <c r="B129" s="2" t="str">
        <f>_xlfn.CONCAT('Источник 1'!B129," ",'Источник 1'!C129)</f>
        <v>Miller Swetlana</v>
      </c>
      <c r="C129" s="2" t="str">
        <f>VLOOKUP('Источник 1'!A129,'Источник 1'!A129:G360, 4,0)</f>
        <v>Senior Manager</v>
      </c>
      <c r="D129" s="2" t="str">
        <f>VLOOKUP('Источник 1'!A129,'Источник 1'!A129:G360,5,0)</f>
        <v>B47</v>
      </c>
      <c r="E129" s="2" t="str">
        <f>IF('Источник 1'!G129&gt;0,"YES","NO")</f>
        <v>YES</v>
      </c>
    </row>
    <row r="130" spans="1:5" x14ac:dyDescent="0.3">
      <c r="A130" s="8">
        <v>10119</v>
      </c>
      <c r="B130" s="2" t="str">
        <f>_xlfn.CONCAT('Источник 1'!B130," ",'Источник 1'!C130)</f>
        <v>Lebedev Nikolay</v>
      </c>
      <c r="C130" s="2" t="str">
        <f>VLOOKUP('Источник 1'!A130,'Источник 1'!A130:G361, 4,0)</f>
        <v>Consultant</v>
      </c>
      <c r="D130" s="2" t="str">
        <f>VLOOKUP('Источник 1'!A130,'Источник 1'!A130:G361,5,0)</f>
        <v>B47</v>
      </c>
      <c r="E130" s="2" t="str">
        <f>IF('Источник 1'!G130&gt;0,"YES","NO")</f>
        <v>NO</v>
      </c>
    </row>
    <row r="131" spans="1:5" x14ac:dyDescent="0.3">
      <c r="A131" s="8">
        <v>10120</v>
      </c>
      <c r="B131" s="2" t="str">
        <f>_xlfn.CONCAT('Источник 1'!B131," ",'Источник 1'!C131)</f>
        <v>Golubeva Anna</v>
      </c>
      <c r="C131" s="2" t="str">
        <f>VLOOKUP('Источник 1'!A131,'Источник 1'!A131:G362, 4,0)</f>
        <v>Consultant</v>
      </c>
      <c r="D131" s="2" t="str">
        <f>VLOOKUP('Источник 1'!A131,'Источник 1'!A131:G362,5,0)</f>
        <v>B47</v>
      </c>
      <c r="E131" s="2" t="str">
        <f>IF('Источник 1'!G131&gt;0,"YES","NO")</f>
        <v>NO</v>
      </c>
    </row>
    <row r="132" spans="1:5" x14ac:dyDescent="0.3">
      <c r="A132" s="8">
        <v>10121</v>
      </c>
      <c r="B132" s="2" t="str">
        <f>_xlfn.CONCAT('Источник 1'!B132," ",'Источник 1'!C132)</f>
        <v>Zaytseva Marina</v>
      </c>
      <c r="C132" s="2" t="str">
        <f>VLOOKUP('Источник 1'!A132,'Источник 1'!A132:G363, 4,0)</f>
        <v>Consultant</v>
      </c>
      <c r="D132" s="2" t="str">
        <f>VLOOKUP('Источник 1'!A132,'Источник 1'!A132:G363,5,0)</f>
        <v>B47</v>
      </c>
      <c r="E132" s="2" t="str">
        <f>IF('Источник 1'!G132&gt;0,"YES","NO")</f>
        <v>NO</v>
      </c>
    </row>
    <row r="133" spans="1:5" x14ac:dyDescent="0.3">
      <c r="A133" s="8">
        <v>10122</v>
      </c>
      <c r="B133" s="2" t="str">
        <f>_xlfn.CONCAT('Источник 1'!B133," ",'Источник 1'!C133)</f>
        <v>Golubev Konstantin</v>
      </c>
      <c r="C133" s="2" t="str">
        <f>VLOOKUP('Источник 1'!A133,'Источник 1'!A133:G364, 4,0)</f>
        <v>Senior Manager</v>
      </c>
      <c r="D133" s="2" t="str">
        <f>VLOOKUP('Источник 1'!A133,'Источник 1'!A133:G364,5,0)</f>
        <v>B48</v>
      </c>
      <c r="E133" s="2" t="str">
        <f>IF('Источник 1'!G133&gt;0,"YES","NO")</f>
        <v>NO</v>
      </c>
    </row>
    <row r="134" spans="1:5" x14ac:dyDescent="0.3">
      <c r="A134" s="8">
        <v>10123</v>
      </c>
      <c r="B134" s="2" t="str">
        <f>_xlfn.CONCAT('Источник 1'!B134," ",'Источник 1'!C134)</f>
        <v>Morozov Yuri</v>
      </c>
      <c r="C134" s="2" t="str">
        <f>VLOOKUP('Источник 1'!A134,'Источник 1'!A134:G365, 4,0)</f>
        <v>Consultant</v>
      </c>
      <c r="D134" s="2" t="str">
        <f>VLOOKUP('Источник 1'!A134,'Источник 1'!A134:G365,5,0)</f>
        <v>B48</v>
      </c>
      <c r="E134" s="2" t="str">
        <f>IF('Источник 1'!G134&gt;0,"YES","NO")</f>
        <v>NO</v>
      </c>
    </row>
    <row r="135" spans="1:5" x14ac:dyDescent="0.3">
      <c r="A135" s="8">
        <v>10124</v>
      </c>
      <c r="B135" s="2" t="str">
        <f>_xlfn.CONCAT('Источник 1'!B135," ",'Источник 1'!C135)</f>
        <v>Kuznecov Leonid</v>
      </c>
      <c r="C135" s="2" t="str">
        <f>VLOOKUP('Источник 1'!A135,'Источник 1'!A135:G366, 4,0)</f>
        <v>Consultant</v>
      </c>
      <c r="D135" s="2" t="str">
        <f>VLOOKUP('Источник 1'!A135,'Источник 1'!A135:G366,5,0)</f>
        <v>B48</v>
      </c>
      <c r="E135" s="2" t="str">
        <f>IF('Источник 1'!G135&gt;0,"YES","NO")</f>
        <v>NO</v>
      </c>
    </row>
    <row r="136" spans="1:5" x14ac:dyDescent="0.3">
      <c r="A136" s="8">
        <v>10125</v>
      </c>
      <c r="B136" s="2" t="str">
        <f>_xlfn.CONCAT('Источник 1'!B136," ",'Источник 1'!C136)</f>
        <v>Bronconi Mike</v>
      </c>
      <c r="C136" s="2" t="str">
        <f>VLOOKUP('Источник 1'!A136,'Источник 1'!A136:G367, 4,0)</f>
        <v>Programmer</v>
      </c>
      <c r="D136" s="2" t="str">
        <f>VLOOKUP('Источник 1'!A136,'Источник 1'!A136:G367,5,0)</f>
        <v>B01</v>
      </c>
      <c r="E136" s="2" t="str">
        <f>IF('Источник 1'!G136&gt;0,"YES","NO")</f>
        <v>NO</v>
      </c>
    </row>
    <row r="137" spans="1:5" x14ac:dyDescent="0.3">
      <c r="A137" s="8">
        <v>10126</v>
      </c>
      <c r="B137" s="2" t="str">
        <f>_xlfn.CONCAT('Источник 1'!B137," ",'Источник 1'!C137)</f>
        <v>Lee Mike</v>
      </c>
      <c r="C137" s="2" t="str">
        <f>VLOOKUP('Источник 1'!A137,'Источник 1'!A137:G368, 4,0)</f>
        <v>Programmer</v>
      </c>
      <c r="D137" s="2" t="str">
        <f>VLOOKUP('Источник 1'!A137,'Источник 1'!A137:G368,5,0)</f>
        <v>B01</v>
      </c>
      <c r="E137" s="2" t="str">
        <f>IF('Источник 1'!G137&gt;0,"YES","NO")</f>
        <v>NO</v>
      </c>
    </row>
    <row r="138" spans="1:5" x14ac:dyDescent="0.3">
      <c r="A138" s="8">
        <v>10127</v>
      </c>
      <c r="B138" s="2" t="str">
        <f>_xlfn.CONCAT('Источник 1'!B138," ",'Источник 1'!C138)</f>
        <v>Novikova Tatjana</v>
      </c>
      <c r="C138" s="2" t="str">
        <f>VLOOKUP('Источник 1'!A138,'Источник 1'!A138:G369, 4,0)</f>
        <v>Senior Manager</v>
      </c>
      <c r="D138" s="2" t="str">
        <f>VLOOKUP('Источник 1'!A138,'Источник 1'!A138:G369,5,0)</f>
        <v>B17</v>
      </c>
      <c r="E138" s="2" t="str">
        <f>IF('Источник 1'!G138&gt;0,"YES","NO")</f>
        <v>NO</v>
      </c>
    </row>
    <row r="139" spans="1:5" x14ac:dyDescent="0.3">
      <c r="A139" s="8">
        <v>10128</v>
      </c>
      <c r="B139" s="2" t="str">
        <f>_xlfn.CONCAT('Источник 1'!B139," ",'Источник 1'!C139)</f>
        <v>Bogdanov Dimitry</v>
      </c>
      <c r="C139" s="2" t="str">
        <f>VLOOKUP('Источник 1'!A139,'Источник 1'!A139:G370, 4,0)</f>
        <v>Consultant</v>
      </c>
      <c r="D139" s="2" t="str">
        <f>VLOOKUP('Источник 1'!A139,'Источник 1'!A139:G370,5,0)</f>
        <v>B17</v>
      </c>
      <c r="E139" s="2" t="str">
        <f>IF('Источник 1'!G139&gt;0,"YES","NO")</f>
        <v>NO</v>
      </c>
    </row>
    <row r="140" spans="1:5" x14ac:dyDescent="0.3">
      <c r="A140" s="8">
        <v>10129</v>
      </c>
      <c r="B140" s="2" t="str">
        <f>_xlfn.CONCAT('Источник 1'!B140," ",'Источник 1'!C140)</f>
        <v>Novikov Boris</v>
      </c>
      <c r="C140" s="2" t="str">
        <f>VLOOKUP('Источник 1'!A140,'Источник 1'!A140:G371, 4,0)</f>
        <v>Consultant</v>
      </c>
      <c r="D140" s="2" t="str">
        <f>VLOOKUP('Источник 1'!A140,'Источник 1'!A140:G371,5,0)</f>
        <v>B17</v>
      </c>
      <c r="E140" s="2" t="str">
        <f>IF('Источник 1'!G140&gt;0,"YES","NO")</f>
        <v>NO</v>
      </c>
    </row>
    <row r="141" spans="1:5" x14ac:dyDescent="0.3">
      <c r="A141" s="8">
        <v>10130</v>
      </c>
      <c r="B141" s="2" t="str">
        <f>_xlfn.CONCAT('Источник 1'!B141," ",'Источник 1'!C141)</f>
        <v>Novikov Pyotr</v>
      </c>
      <c r="C141" s="2" t="str">
        <f>VLOOKUP('Источник 1'!A141,'Источник 1'!A141:G372, 4,0)</f>
        <v>Consultant</v>
      </c>
      <c r="D141" s="2" t="str">
        <f>VLOOKUP('Источник 1'!A141,'Источник 1'!A141:G372,5,0)</f>
        <v>B17</v>
      </c>
      <c r="E141" s="2" t="str">
        <f>IF('Источник 1'!G141&gt;0,"YES","NO")</f>
        <v>NO</v>
      </c>
    </row>
    <row r="142" spans="1:5" x14ac:dyDescent="0.3">
      <c r="A142" s="8">
        <v>10131</v>
      </c>
      <c r="B142" s="2" t="str">
        <f>_xlfn.CONCAT('Источник 1'!B142," ",'Источник 1'!C142)</f>
        <v>Ivanov Sergey</v>
      </c>
      <c r="C142" s="2" t="str">
        <f>VLOOKUP('Источник 1'!A142,'Источник 1'!A142:G373, 4,0)</f>
        <v>Consultant</v>
      </c>
      <c r="D142" s="2" t="str">
        <f>VLOOKUP('Источник 1'!A142,'Источник 1'!A142:G373,5,0)</f>
        <v>B17</v>
      </c>
      <c r="E142" s="2" t="str">
        <f>IF('Источник 1'!G142&gt;0,"YES","NO")</f>
        <v>NO</v>
      </c>
    </row>
    <row r="143" spans="1:5" x14ac:dyDescent="0.3">
      <c r="A143" s="8">
        <v>20101</v>
      </c>
      <c r="B143" s="2" t="str">
        <f>_xlfn.CONCAT('Источник 1'!B143," ",'Источник 1'!C143)</f>
        <v>Gupta Mike</v>
      </c>
      <c r="C143" s="2" t="str">
        <f>VLOOKUP('Источник 1'!A143,'Источник 1'!A143:G374, 4,0)</f>
        <v>Programmer</v>
      </c>
      <c r="D143" s="2" t="str">
        <f>VLOOKUP('Источник 1'!A143,'Источник 1'!A143:G374,5,0)</f>
        <v>B01</v>
      </c>
      <c r="E143" s="2" t="str">
        <f>IF('Источник 1'!G143&gt;0,"YES","NO")</f>
        <v>NO</v>
      </c>
    </row>
    <row r="144" spans="1:5" x14ac:dyDescent="0.3">
      <c r="A144" s="8">
        <v>20102</v>
      </c>
      <c r="B144" s="2" t="str">
        <f>_xlfn.CONCAT('Источник 1'!B144," ",'Источник 1'!C144)</f>
        <v>Martin Jessica</v>
      </c>
      <c r="C144" s="2" t="str">
        <f>VLOOKUP('Источник 1'!A144,'Источник 1'!A144:G375, 4,0)</f>
        <v>Programmer</v>
      </c>
      <c r="D144" s="2" t="str">
        <f>VLOOKUP('Источник 1'!A144,'Источник 1'!A144:G375,5,0)</f>
        <v>B01</v>
      </c>
      <c r="E144" s="2" t="str">
        <f>IF('Источник 1'!G144&gt;0,"YES","NO")</f>
        <v>NO</v>
      </c>
    </row>
    <row r="145" spans="1:5" x14ac:dyDescent="0.3">
      <c r="A145" s="8">
        <v>20103</v>
      </c>
      <c r="B145" s="2" t="str">
        <f>_xlfn.CONCAT('Источник 1'!B145," ",'Источник 1'!C145)</f>
        <v>Jaworski Adam</v>
      </c>
      <c r="C145" s="2" t="str">
        <f>VLOOKUP('Источник 1'!A145,'Источник 1'!A145:G376, 4,0)</f>
        <v>Senior Manager</v>
      </c>
      <c r="D145" s="2" t="str">
        <f>VLOOKUP('Источник 1'!A145,'Источник 1'!A145:G376,5,0)</f>
        <v>B55</v>
      </c>
      <c r="E145" s="2" t="str">
        <f>IF('Источник 1'!G145&gt;0,"YES","NO")</f>
        <v>NO</v>
      </c>
    </row>
    <row r="146" spans="1:5" x14ac:dyDescent="0.3">
      <c r="A146" s="8">
        <v>20104</v>
      </c>
      <c r="B146" s="2" t="str">
        <f>_xlfn.CONCAT('Источник 1'!B146," ",'Источник 1'!C146)</f>
        <v>Glinka Tatjana</v>
      </c>
      <c r="C146" s="2" t="str">
        <f>VLOOKUP('Источник 1'!A146,'Источник 1'!A146:G377, 4,0)</f>
        <v>Consultant</v>
      </c>
      <c r="D146" s="2" t="str">
        <f>VLOOKUP('Источник 1'!A146,'Источник 1'!A146:G377,5,0)</f>
        <v>B55</v>
      </c>
      <c r="E146" s="2" t="str">
        <f>IF('Источник 1'!G146&gt;0,"YES","NO")</f>
        <v>NO</v>
      </c>
    </row>
    <row r="147" spans="1:5" x14ac:dyDescent="0.3">
      <c r="A147" s="8">
        <v>20105</v>
      </c>
      <c r="B147" s="2" t="str">
        <f>_xlfn.CONCAT('Источник 1'!B147," ",'Источник 1'!C147)</f>
        <v>Orlowska Helena</v>
      </c>
      <c r="C147" s="2" t="str">
        <f>VLOOKUP('Источник 1'!A147,'Источник 1'!A147:G378, 4,0)</f>
        <v>Consultant</v>
      </c>
      <c r="D147" s="2" t="str">
        <f>VLOOKUP('Источник 1'!A147,'Источник 1'!A147:G378,5,0)</f>
        <v>B55</v>
      </c>
      <c r="E147" s="2" t="str">
        <f>IF('Источник 1'!G147&gt;0,"YES","NO")</f>
        <v>NO</v>
      </c>
    </row>
    <row r="148" spans="1:5" x14ac:dyDescent="0.3">
      <c r="A148" s="8">
        <v>20106</v>
      </c>
      <c r="B148" s="2" t="str">
        <f>_xlfn.CONCAT('Источник 1'!B148," ",'Источник 1'!C148)</f>
        <v>Wietrzycki Tomasz</v>
      </c>
      <c r="C148" s="2" t="str">
        <f>VLOOKUP('Источник 1'!A148,'Источник 1'!A148:G379, 4,0)</f>
        <v>Project Manager</v>
      </c>
      <c r="D148" s="2" t="str">
        <f>VLOOKUP('Источник 1'!A148,'Источник 1'!A148:G379,5,0)</f>
        <v>B03</v>
      </c>
      <c r="E148" s="2" t="str">
        <f>IF('Источник 1'!G148&gt;0,"YES","NO")</f>
        <v>NO</v>
      </c>
    </row>
    <row r="149" spans="1:5" x14ac:dyDescent="0.3">
      <c r="A149" s="8">
        <v>20107</v>
      </c>
      <c r="B149" s="2" t="str">
        <f>_xlfn.CONCAT('Источник 1'!B149," ",'Источник 1'!C149)</f>
        <v>Lis Niki</v>
      </c>
      <c r="C149" s="2" t="str">
        <f>VLOOKUP('Источник 1'!A149,'Источник 1'!A149:G380, 4,0)</f>
        <v>Senior Manager</v>
      </c>
      <c r="D149" s="2" t="str">
        <f>VLOOKUP('Источник 1'!A149,'Источник 1'!A149:G380,5,0)</f>
        <v>B08</v>
      </c>
      <c r="E149" s="2" t="str">
        <f>IF('Источник 1'!G149&gt;0,"YES","NO")</f>
        <v>YES</v>
      </c>
    </row>
    <row r="150" spans="1:5" x14ac:dyDescent="0.3">
      <c r="A150" s="8">
        <v>20108</v>
      </c>
      <c r="B150" s="2" t="str">
        <f>_xlfn.CONCAT('Источник 1'!B150," ",'Источник 1'!C150)</f>
        <v>Papadopoulos Georgos</v>
      </c>
      <c r="C150" s="2" t="str">
        <f>VLOOKUP('Источник 1'!A150,'Источник 1'!A150:G381, 4,0)</f>
        <v>Consultant</v>
      </c>
      <c r="D150" s="2" t="str">
        <f>VLOOKUP('Источник 1'!A150,'Источник 1'!A150:G381,5,0)</f>
        <v>B08</v>
      </c>
      <c r="E150" s="2" t="str">
        <f>IF('Источник 1'!G150&gt;0,"YES","NO")</f>
        <v>YES</v>
      </c>
    </row>
    <row r="151" spans="1:5" x14ac:dyDescent="0.3">
      <c r="A151" s="8">
        <v>20109</v>
      </c>
      <c r="B151" s="2" t="str">
        <f>_xlfn.CONCAT('Источник 1'!B151," ",'Источник 1'!C151)</f>
        <v>Mayer Peter</v>
      </c>
      <c r="C151" s="2" t="str">
        <f>VLOOKUP('Источник 1'!A151,'Источник 1'!A151:G382, 4,0)</f>
        <v>Consultant</v>
      </c>
      <c r="D151" s="2" t="str">
        <f>VLOOKUP('Источник 1'!A151,'Источник 1'!A151:G382,5,0)</f>
        <v>B09</v>
      </c>
      <c r="E151" s="2" t="str">
        <f>IF('Источник 1'!G151&gt;0,"YES","NO")</f>
        <v>NO</v>
      </c>
    </row>
    <row r="152" spans="1:5" x14ac:dyDescent="0.3">
      <c r="A152" s="8">
        <v>20110</v>
      </c>
      <c r="B152" s="2" t="str">
        <f>_xlfn.CONCAT('Источник 1'!B152," ",'Источник 1'!C152)</f>
        <v>Smith Helga</v>
      </c>
      <c r="C152" s="2" t="str">
        <f>VLOOKUP('Источник 1'!A152,'Источник 1'!A152:G383, 4,0)</f>
        <v>Consultant</v>
      </c>
      <c r="D152" s="2" t="str">
        <f>VLOOKUP('Источник 1'!A152,'Источник 1'!A152:G383,5,0)</f>
        <v>B09</v>
      </c>
      <c r="E152" s="2" t="str">
        <f>IF('Источник 1'!G152&gt;0,"YES","NO")</f>
        <v>NO</v>
      </c>
    </row>
    <row r="153" spans="1:5" x14ac:dyDescent="0.3">
      <c r="A153" s="8">
        <v>20111</v>
      </c>
      <c r="B153" s="2" t="str">
        <f>_xlfn.CONCAT('Источник 1'!B153," ",'Источник 1'!C153)</f>
        <v>Jung Karin</v>
      </c>
      <c r="C153" s="2" t="str">
        <f>VLOOKUP('Источник 1'!A153,'Источник 1'!A153:G384, 4,0)</f>
        <v>Consultant</v>
      </c>
      <c r="D153" s="2" t="str">
        <f>VLOOKUP('Источник 1'!A153,'Источник 1'!A153:G384,5,0)</f>
        <v>B09</v>
      </c>
      <c r="E153" s="2" t="str">
        <f>IF('Источник 1'!G153&gt;0,"YES","NO")</f>
        <v>NO</v>
      </c>
    </row>
    <row r="154" spans="1:5" x14ac:dyDescent="0.3">
      <c r="A154" s="8">
        <v>20112</v>
      </c>
      <c r="B154" s="2" t="str">
        <f>_xlfn.CONCAT('Источник 1'!B154," ",'Источник 1'!C154)</f>
        <v>von Boroski Katja</v>
      </c>
      <c r="C154" s="2" t="str">
        <f>VLOOKUP('Источник 1'!A154,'Источник 1'!A154:G385, 4,0)</f>
        <v>Senior Manager</v>
      </c>
      <c r="D154" s="2" t="str">
        <f>VLOOKUP('Источник 1'!A154,'Источник 1'!A154:G385,5,0)</f>
        <v>B09</v>
      </c>
      <c r="E154" s="2" t="str">
        <f>IF('Источник 1'!G154&gt;0,"YES","NO")</f>
        <v>NO</v>
      </c>
    </row>
    <row r="155" spans="1:5" x14ac:dyDescent="0.3">
      <c r="A155" s="8">
        <v>20113</v>
      </c>
      <c r="B155" s="2" t="str">
        <f>_xlfn.CONCAT('Источник 1'!B155," ",'Источник 1'!C155)</f>
        <v>Steiner Heike</v>
      </c>
      <c r="C155" s="2" t="str">
        <f>VLOOKUP('Источник 1'!A155,'Источник 1'!A155:G386, 4,0)</f>
        <v>Consultant</v>
      </c>
      <c r="D155" s="2" t="str">
        <f>VLOOKUP('Источник 1'!A155,'Источник 1'!A155:G386,5,0)</f>
        <v>B09</v>
      </c>
      <c r="E155" s="2" t="str">
        <f>IF('Источник 1'!G155&gt;0,"YES","NO")</f>
        <v>NO</v>
      </c>
    </row>
    <row r="156" spans="1:5" x14ac:dyDescent="0.3">
      <c r="A156" s="8">
        <v>20114</v>
      </c>
      <c r="B156" s="2" t="str">
        <f>_xlfn.CONCAT('Источник 1'!B156," ",'Источник 1'!C156)</f>
        <v>Leitner Hans</v>
      </c>
      <c r="C156" s="2" t="str">
        <f>VLOOKUP('Источник 1'!A156,'Источник 1'!A156:G387, 4,0)</f>
        <v>Consultant</v>
      </c>
      <c r="D156" s="2" t="str">
        <f>VLOOKUP('Источник 1'!A156,'Источник 1'!A156:G387,5,0)</f>
        <v>B09</v>
      </c>
      <c r="E156" s="2" t="str">
        <f>IF('Источник 1'!G156&gt;0,"YES","NO")</f>
        <v>NO</v>
      </c>
    </row>
    <row r="157" spans="1:5" x14ac:dyDescent="0.3">
      <c r="A157" s="8">
        <v>20115</v>
      </c>
      <c r="B157" s="2" t="str">
        <f>_xlfn.CONCAT('Источник 1'!B157," ",'Источник 1'!C157)</f>
        <v>Garcia Franklin</v>
      </c>
      <c r="C157" s="2" t="str">
        <f>VLOOKUP('Источник 1'!A157,'Источник 1'!A157:G388, 4,0)</f>
        <v>Senior Manager</v>
      </c>
      <c r="D157" s="2" t="str">
        <f>VLOOKUP('Источник 1'!A157,'Источник 1'!A157:G388,5,0)</f>
        <v>B61</v>
      </c>
      <c r="E157" s="2" t="str">
        <f>IF('Источник 1'!G157&gt;0,"YES","NO")</f>
        <v>NO</v>
      </c>
    </row>
    <row r="158" spans="1:5" x14ac:dyDescent="0.3">
      <c r="A158" s="8">
        <v>20116</v>
      </c>
      <c r="B158" s="2" t="str">
        <f>_xlfn.CONCAT('Источник 1'!B158," ",'Источник 1'!C158)</f>
        <v>Lopez Pedro</v>
      </c>
      <c r="C158" s="2" t="str">
        <f>VLOOKUP('Источник 1'!A158,'Источник 1'!A158:G389, 4,0)</f>
        <v>Consultant</v>
      </c>
      <c r="D158" s="2" t="str">
        <f>VLOOKUP('Источник 1'!A158,'Источник 1'!A158:G389,5,0)</f>
        <v>B61</v>
      </c>
      <c r="E158" s="2" t="str">
        <f>IF('Источник 1'!G158&gt;0,"YES","NO")</f>
        <v>NO</v>
      </c>
    </row>
    <row r="159" spans="1:5" x14ac:dyDescent="0.3">
      <c r="A159" s="8">
        <v>20117</v>
      </c>
      <c r="B159" s="2" t="str">
        <f>_xlfn.CONCAT('Источник 1'!B159," ",'Источник 1'!C159)</f>
        <v>Lee Frank</v>
      </c>
      <c r="C159" s="2" t="str">
        <f>VLOOKUP('Источник 1'!A159,'Источник 1'!A159:G390, 4,0)</f>
        <v>Programmer</v>
      </c>
      <c r="D159" s="2" t="str">
        <f>VLOOKUP('Источник 1'!A159,'Источник 1'!A159:G390,5,0)</f>
        <v>B01</v>
      </c>
      <c r="E159" s="2" t="str">
        <f>IF('Источник 1'!G159&gt;0,"YES","NO")</f>
        <v>NO</v>
      </c>
    </row>
    <row r="160" spans="1:5" x14ac:dyDescent="0.3">
      <c r="A160" s="8">
        <v>20118</v>
      </c>
      <c r="B160" s="2" t="str">
        <f>_xlfn.CONCAT('Источник 1'!B160," ",'Источник 1'!C160)</f>
        <v>Rodov Tomasz</v>
      </c>
      <c r="C160" s="2" t="str">
        <f>VLOOKUP('Источник 1'!A160,'Источник 1'!A160:G391, 4,0)</f>
        <v>Programmer</v>
      </c>
      <c r="D160" s="2" t="str">
        <f>VLOOKUP('Источник 1'!A160,'Источник 1'!A160:G391,5,0)</f>
        <v>B02</v>
      </c>
      <c r="E160" s="2" t="str">
        <f>IF('Источник 1'!G160&gt;0,"YES","NO")</f>
        <v>NO</v>
      </c>
    </row>
    <row r="161" spans="1:5" x14ac:dyDescent="0.3">
      <c r="A161" s="8">
        <v>20119</v>
      </c>
      <c r="B161" s="2" t="str">
        <f>_xlfn.CONCAT('Источник 1'!B161," ",'Источник 1'!C161)</f>
        <v>Wolniak Henryk</v>
      </c>
      <c r="C161" s="2" t="str">
        <f>VLOOKUP('Источник 1'!A161,'Источник 1'!A161:G392, 4,0)</f>
        <v>Programmer</v>
      </c>
      <c r="D161" s="2" t="str">
        <f>VLOOKUP('Источник 1'!A161,'Источник 1'!A161:G392,5,0)</f>
        <v>B02</v>
      </c>
      <c r="E161" s="2" t="str">
        <f>IF('Источник 1'!G161&gt;0,"YES","NO")</f>
        <v>NO</v>
      </c>
    </row>
    <row r="162" spans="1:5" x14ac:dyDescent="0.3">
      <c r="A162" s="8">
        <v>20120</v>
      </c>
      <c r="B162" s="2" t="str">
        <f>_xlfn.CONCAT('Источник 1'!B162," ",'Источник 1'!C162)</f>
        <v>Garcia Franklin</v>
      </c>
      <c r="C162" s="2" t="str">
        <f>VLOOKUP('Источник 1'!A162,'Источник 1'!A162:G393, 4,0)</f>
        <v>Senior Manager</v>
      </c>
      <c r="D162" s="2" t="str">
        <f>VLOOKUP('Источник 1'!A162,'Источник 1'!A162:G393,5,0)</f>
        <v>B61</v>
      </c>
      <c r="E162" s="2" t="str">
        <f>IF('Источник 1'!G162&gt;0,"YES","NO")</f>
        <v>NO</v>
      </c>
    </row>
    <row r="163" spans="1:5" x14ac:dyDescent="0.3">
      <c r="A163" s="8">
        <v>20121</v>
      </c>
      <c r="B163" s="2" t="str">
        <f>_xlfn.CONCAT('Источник 1'!B163," ",'Источник 1'!C163)</f>
        <v>Lopez Pedro</v>
      </c>
      <c r="C163" s="2" t="str">
        <f>VLOOKUP('Источник 1'!A163,'Источник 1'!A163:G394, 4,0)</f>
        <v>Consultant</v>
      </c>
      <c r="D163" s="2" t="str">
        <f>VLOOKUP('Источник 1'!A163,'Источник 1'!A163:G394,5,0)</f>
        <v>B61</v>
      </c>
      <c r="E163" s="2" t="str">
        <f>IF('Источник 1'!G163&gt;0,"YES","NO")</f>
        <v>NO</v>
      </c>
    </row>
    <row r="164" spans="1:5" x14ac:dyDescent="0.3">
      <c r="A164" s="8">
        <v>20122</v>
      </c>
      <c r="B164" s="2" t="str">
        <f>_xlfn.CONCAT('Источник 1'!B164," ",'Источник 1'!C164)</f>
        <v>Szajnowicz Georgos</v>
      </c>
      <c r="C164" s="2" t="str">
        <f>VLOOKUP('Источник 1'!A164,'Источник 1'!A164:G395, 4,0)</f>
        <v>Consultant</v>
      </c>
      <c r="D164" s="2" t="str">
        <f>VLOOKUP('Источник 1'!A164,'Источник 1'!A164:G395,5,0)</f>
        <v>B08</v>
      </c>
      <c r="E164" s="2" t="str">
        <f>IF('Источник 1'!G164&gt;0,"YES","NO")</f>
        <v>NO</v>
      </c>
    </row>
    <row r="165" spans="1:5" x14ac:dyDescent="0.3">
      <c r="A165" s="8">
        <v>30021</v>
      </c>
      <c r="B165" s="2" t="str">
        <f>_xlfn.CONCAT('Источник 1'!B165," ",'Источник 1'!C165)</f>
        <v>Malinowska Barbara</v>
      </c>
      <c r="C165" s="2" t="str">
        <f>VLOOKUP('Источник 1'!A165,'Источник 1'!A165:G396, 4,0)</f>
        <v>Programmer</v>
      </c>
      <c r="D165" s="2" t="str">
        <f>VLOOKUP('Источник 1'!A165,'Источник 1'!A165:G396,5,0)</f>
        <v>B03</v>
      </c>
      <c r="E165" s="2" t="str">
        <f>IF('Источник 1'!G165&gt;0,"YES","NO")</f>
        <v>NO</v>
      </c>
    </row>
    <row r="166" spans="1:5" x14ac:dyDescent="0.3">
      <c r="A166" s="8">
        <v>30022</v>
      </c>
      <c r="B166" s="2" t="str">
        <f>_xlfn.CONCAT('Источник 1'!B166," ",'Источник 1'!C166)</f>
        <v>Matysiak Iwona</v>
      </c>
      <c r="C166" s="2" t="str">
        <f>VLOOKUP('Источник 1'!A166,'Источник 1'!A166:G397, 4,0)</f>
        <v>Programmer</v>
      </c>
      <c r="D166" s="2" t="str">
        <f>VLOOKUP('Источник 1'!A166,'Источник 1'!A166:G397,5,0)</f>
        <v>B03</v>
      </c>
      <c r="E166" s="2" t="str">
        <f>IF('Источник 1'!G166&gt;0,"YES","NO")</f>
        <v>NO</v>
      </c>
    </row>
    <row r="167" spans="1:5" x14ac:dyDescent="0.3">
      <c r="A167" s="8">
        <v>30023</v>
      </c>
      <c r="B167" s="2" t="str">
        <f>_xlfn.CONCAT('Источник 1'!B167," ",'Источник 1'!C167)</f>
        <v>Piotrowska Barbara</v>
      </c>
      <c r="C167" s="2" t="str">
        <f>VLOOKUP('Источник 1'!A167,'Источник 1'!A167:G398, 4,0)</f>
        <v>Software Analyst</v>
      </c>
      <c r="D167" s="2" t="str">
        <f>VLOOKUP('Источник 1'!A167,'Источник 1'!A167:G398,5,0)</f>
        <v>B03</v>
      </c>
      <c r="E167" s="2" t="str">
        <f>IF('Источник 1'!G167&gt;0,"YES","NO")</f>
        <v>NO</v>
      </c>
    </row>
    <row r="168" spans="1:5" x14ac:dyDescent="0.3">
      <c r="A168" s="8">
        <v>30024</v>
      </c>
      <c r="B168" s="2" t="str">
        <f>_xlfn.CONCAT('Источник 1'!B168," ",'Источник 1'!C168)</f>
        <v>Birkut Wladyslaw</v>
      </c>
      <c r="C168" s="2" t="str">
        <f>VLOOKUP('Источник 1'!A168,'Источник 1'!A168:G399, 4,0)</f>
        <v>Software Analyst</v>
      </c>
      <c r="D168" s="2" t="str">
        <f>VLOOKUP('Источник 1'!A168,'Источник 1'!A168:G399,5,0)</f>
        <v>B03</v>
      </c>
      <c r="E168" s="2" t="str">
        <f>IF('Источник 1'!G168&gt;0,"YES","NO")</f>
        <v>NO</v>
      </c>
    </row>
    <row r="169" spans="1:5" x14ac:dyDescent="0.3">
      <c r="A169" s="8">
        <v>30025</v>
      </c>
      <c r="B169" s="2" t="str">
        <f>_xlfn.CONCAT('Источник 1'!B169," ",'Источник 1'!C169)</f>
        <v>Wozniak Andrzej</v>
      </c>
      <c r="C169" s="2" t="str">
        <f>VLOOKUP('Источник 1'!A169,'Источник 1'!A169:G400, 4,0)</f>
        <v>Software Analyst</v>
      </c>
      <c r="D169" s="2" t="str">
        <f>VLOOKUP('Источник 1'!A169,'Источник 1'!A169:G400,5,0)</f>
        <v>B03</v>
      </c>
      <c r="E169" s="2" t="str">
        <f>IF('Источник 1'!G169&gt;0,"YES","NO")</f>
        <v>NO</v>
      </c>
    </row>
    <row r="170" spans="1:5" x14ac:dyDescent="0.3">
      <c r="A170" s="8">
        <v>30026</v>
      </c>
      <c r="B170" s="2" t="str">
        <f>_xlfn.CONCAT('Источник 1'!B170," ",'Источник 1'!C170)</f>
        <v>Fronczak Iwona</v>
      </c>
      <c r="C170" s="2" t="str">
        <f>VLOOKUP('Источник 1'!A170,'Источник 1'!A170:G401, 4,0)</f>
        <v>Programmer</v>
      </c>
      <c r="D170" s="2" t="str">
        <f>VLOOKUP('Источник 1'!A170,'Источник 1'!A170:G401,5,0)</f>
        <v>B03</v>
      </c>
      <c r="E170" s="2" t="str">
        <f>IF('Источник 1'!G170&gt;0,"YES","NO")</f>
        <v>NO</v>
      </c>
    </row>
    <row r="171" spans="1:5" x14ac:dyDescent="0.3">
      <c r="A171" s="8">
        <v>30027</v>
      </c>
      <c r="B171" s="2" t="str">
        <f>_xlfn.CONCAT('Источник 1'!B171," ",'Источник 1'!C171)</f>
        <v>Pardo Antonio</v>
      </c>
      <c r="C171" s="2" t="str">
        <f>VLOOKUP('Источник 1'!A171,'Источник 1'!A171:G402, 4,0)</f>
        <v>Programmer</v>
      </c>
      <c r="D171" s="2" t="str">
        <f>VLOOKUP('Источник 1'!A171,'Источник 1'!A171:G402,5,0)</f>
        <v>B01</v>
      </c>
      <c r="E171" s="2" t="str">
        <f>IF('Источник 1'!G171&gt;0,"YES","NO")</f>
        <v>NO</v>
      </c>
    </row>
    <row r="172" spans="1:5" x14ac:dyDescent="0.3">
      <c r="A172" s="8">
        <v>30028</v>
      </c>
      <c r="B172" s="2" t="str">
        <f>_xlfn.CONCAT('Источник 1'!B172," ",'Источник 1'!C172)</f>
        <v>Davis Josef</v>
      </c>
      <c r="C172" s="2" t="str">
        <f>VLOOKUP('Источник 1'!A172,'Источник 1'!A172:G403, 4,0)</f>
        <v>Programmer</v>
      </c>
      <c r="D172" s="2" t="str">
        <f>VLOOKUP('Источник 1'!A172,'Источник 1'!A172:G403,5,0)</f>
        <v>B01</v>
      </c>
      <c r="E172" s="2" t="str">
        <f>IF('Источник 1'!G172&gt;0,"YES","NO")</f>
        <v>NO</v>
      </c>
    </row>
    <row r="173" spans="1:5" x14ac:dyDescent="0.3">
      <c r="A173" s="8">
        <v>30029</v>
      </c>
      <c r="B173" s="2" t="str">
        <f>_xlfn.CONCAT('Источник 1'!B173," ",'Источник 1'!C173)</f>
        <v>Babinicz Mariola</v>
      </c>
      <c r="C173" s="2" t="str">
        <f>VLOOKUP('Источник 1'!A173,'Источник 1'!A173:G404, 4,0)</f>
        <v>Programmer</v>
      </c>
      <c r="D173" s="2" t="str">
        <f>VLOOKUP('Источник 1'!A173,'Источник 1'!A173:G404,5,0)</f>
        <v>B03</v>
      </c>
      <c r="E173" s="2" t="str">
        <f>IF('Источник 1'!G173&gt;0,"YES","NO")</f>
        <v>NO</v>
      </c>
    </row>
    <row r="174" spans="1:5" x14ac:dyDescent="0.3">
      <c r="A174" s="8">
        <v>30030</v>
      </c>
      <c r="B174" s="2" t="str">
        <f>_xlfn.CONCAT('Источник 1'!B174," ",'Источник 1'!C174)</f>
        <v>Kopyto Marek</v>
      </c>
      <c r="C174" s="2" t="str">
        <f>VLOOKUP('Источник 1'!A174,'Источник 1'!A174:G405, 4,0)</f>
        <v>Programmer</v>
      </c>
      <c r="D174" s="2" t="str">
        <f>VLOOKUP('Источник 1'!A174,'Источник 1'!A174:G405,5,0)</f>
        <v>B03</v>
      </c>
      <c r="E174" s="2" t="str">
        <f>IF('Источник 1'!G174&gt;0,"YES","NO")</f>
        <v>YES</v>
      </c>
    </row>
    <row r="175" spans="1:5" x14ac:dyDescent="0.3">
      <c r="A175" s="8">
        <v>20221</v>
      </c>
      <c r="B175" s="2" t="str">
        <f>_xlfn.CONCAT('Источник 1'!B175," ",'Источник 1'!C175)</f>
        <v>Scott William</v>
      </c>
      <c r="C175" s="2" t="str">
        <f>VLOOKUP('Источник 1'!A175,'Источник 1'!A175:G406, 4,0)</f>
        <v>Programmer</v>
      </c>
      <c r="D175" s="2" t="str">
        <f>VLOOKUP('Источник 1'!A175,'Источник 1'!A175:G406,5,0)</f>
        <v>B01</v>
      </c>
      <c r="E175" s="2" t="str">
        <f>IF('Источник 1'!G175&gt;0,"YES","NO")</f>
        <v>NO</v>
      </c>
    </row>
    <row r="176" spans="1:5" x14ac:dyDescent="0.3">
      <c r="A176" s="8">
        <v>20222</v>
      </c>
      <c r="B176" s="2" t="str">
        <f>_xlfn.CONCAT('Источник 1'!B176," ",'Источник 1'!C176)</f>
        <v>Reid Antonio</v>
      </c>
      <c r="C176" s="2" t="str">
        <f>VLOOKUP('Источник 1'!A176,'Источник 1'!A176:G407, 4,0)</f>
        <v>Programmer</v>
      </c>
      <c r="D176" s="2" t="str">
        <f>VLOOKUP('Источник 1'!A176,'Источник 1'!A176:G407,5,0)</f>
        <v>B01</v>
      </c>
      <c r="E176" s="2" t="str">
        <f>IF('Источник 1'!G176&gt;0,"YES","NO")</f>
        <v>NO</v>
      </c>
    </row>
    <row r="177" spans="1:5" x14ac:dyDescent="0.3">
      <c r="A177" s="8">
        <v>20223</v>
      </c>
      <c r="B177" s="2" t="str">
        <f>_xlfn.CONCAT('Источник 1'!B177," ",'Источник 1'!C177)</f>
        <v>Watson Josef</v>
      </c>
      <c r="C177" s="2" t="str">
        <f>VLOOKUP('Источник 1'!A177,'Источник 1'!A177:G408, 4,0)</f>
        <v>Programmer</v>
      </c>
      <c r="D177" s="2" t="str">
        <f>VLOOKUP('Источник 1'!A177,'Источник 1'!A177:G408,5,0)</f>
        <v>B01</v>
      </c>
      <c r="E177" s="2" t="str">
        <f>IF('Источник 1'!G177&gt;0,"YES","NO")</f>
        <v>NO</v>
      </c>
    </row>
    <row r="178" spans="1:5" x14ac:dyDescent="0.3">
      <c r="A178" s="8">
        <v>20224</v>
      </c>
      <c r="B178" s="2" t="str">
        <f>_xlfn.CONCAT('Источник 1'!B178," ",'Источник 1'!C178)</f>
        <v>Gray Brittany</v>
      </c>
      <c r="C178" s="2" t="str">
        <f>VLOOKUP('Источник 1'!A178,'Источник 1'!A178:G409, 4,0)</f>
        <v>Programmer</v>
      </c>
      <c r="D178" s="2" t="str">
        <f>VLOOKUP('Источник 1'!A178,'Источник 1'!A178:G409,5,0)</f>
        <v>B01</v>
      </c>
      <c r="E178" s="2" t="str">
        <f>IF('Источник 1'!G178&gt;0,"YES","NO")</f>
        <v>NO</v>
      </c>
    </row>
    <row r="179" spans="1:5" x14ac:dyDescent="0.3">
      <c r="A179" s="8">
        <v>20225</v>
      </c>
      <c r="B179" s="2" t="str">
        <f>_xlfn.CONCAT('Источник 1'!B179," ",'Источник 1'!C179)</f>
        <v>Walker Antonio</v>
      </c>
      <c r="C179" s="2" t="str">
        <f>VLOOKUP('Источник 1'!A179,'Источник 1'!A179:G410, 4,0)</f>
        <v>Programmer</v>
      </c>
      <c r="D179" s="2" t="str">
        <f>VLOOKUP('Источник 1'!A179,'Источник 1'!A179:G410,5,0)</f>
        <v>B01</v>
      </c>
      <c r="E179" s="2" t="str">
        <f>IF('Источник 1'!G179&gt;0,"YES","NO")</f>
        <v>NO</v>
      </c>
    </row>
    <row r="180" spans="1:5" x14ac:dyDescent="0.3">
      <c r="A180" s="8">
        <v>20226</v>
      </c>
      <c r="B180" s="2" t="str">
        <f>_xlfn.CONCAT('Источник 1'!B180," ",'Источник 1'!C180)</f>
        <v>Grant Calvin</v>
      </c>
      <c r="C180" s="2" t="str">
        <f>VLOOKUP('Источник 1'!A180,'Источник 1'!A180:G411, 4,0)</f>
        <v>Programmer</v>
      </c>
      <c r="D180" s="2" t="str">
        <f>VLOOKUP('Источник 1'!A180,'Источник 1'!A180:G411,5,0)</f>
        <v>B01</v>
      </c>
      <c r="E180" s="2" t="str">
        <f>IF('Источник 1'!G180&gt;0,"YES","NO")</f>
        <v>YES</v>
      </c>
    </row>
    <row r="181" spans="1:5" x14ac:dyDescent="0.3">
      <c r="A181" s="8">
        <v>20227</v>
      </c>
      <c r="B181" s="2" t="str">
        <f>_xlfn.CONCAT('Источник 1'!B181," ",'Источник 1'!C181)</f>
        <v>Martinez Pedro</v>
      </c>
      <c r="C181" s="2" t="str">
        <f>VLOOKUP('Источник 1'!A181,'Источник 1'!A181:G412, 4,0)</f>
        <v>Consultant</v>
      </c>
      <c r="D181" s="2" t="str">
        <f>VLOOKUP('Источник 1'!A181,'Источник 1'!A181:G412,5,0)</f>
        <v>B61</v>
      </c>
      <c r="E181" s="2" t="str">
        <f>IF('Источник 1'!G181&gt;0,"YES","NO")</f>
        <v>NO</v>
      </c>
    </row>
    <row r="182" spans="1:5" x14ac:dyDescent="0.3">
      <c r="A182" s="8">
        <v>20228</v>
      </c>
      <c r="B182" s="2" t="str">
        <f>_xlfn.CONCAT('Источник 1'!B182," ",'Источник 1'!C182)</f>
        <v>Kwiatkowska Malgorzata</v>
      </c>
      <c r="C182" s="2" t="str">
        <f>VLOOKUP('Источник 1'!A182,'Источник 1'!A182:G413, 4,0)</f>
        <v>System Engineer</v>
      </c>
      <c r="D182" s="2" t="str">
        <f>VLOOKUP('Источник 1'!A182,'Источник 1'!A182:G413,5,0)</f>
        <v>B03</v>
      </c>
      <c r="E182" s="2" t="str">
        <f>IF('Источник 1'!G182&gt;0,"YES","NO")</f>
        <v>NO</v>
      </c>
    </row>
    <row r="183" spans="1:5" x14ac:dyDescent="0.3">
      <c r="A183" s="8">
        <v>20229</v>
      </c>
      <c r="B183" s="2" t="str">
        <f>_xlfn.CONCAT('Источник 1'!B183," ",'Источник 1'!C183)</f>
        <v>Walker Alan</v>
      </c>
      <c r="C183" s="2" t="str">
        <f>VLOOKUP('Источник 1'!A183,'Источник 1'!A183:G414, 4,0)</f>
        <v>Programmer</v>
      </c>
      <c r="D183" s="2" t="str">
        <f>VLOOKUP('Источник 1'!A183,'Источник 1'!A183:G414,5,0)</f>
        <v>B01</v>
      </c>
      <c r="E183" s="2" t="str">
        <f>IF('Источник 1'!G183&gt;0,"YES","NO")</f>
        <v>NO</v>
      </c>
    </row>
    <row r="184" spans="1:5" x14ac:dyDescent="0.3">
      <c r="A184" s="8">
        <v>20230</v>
      </c>
      <c r="B184" s="2" t="str">
        <f>_xlfn.CONCAT('Источник 1'!B184," ",'Источник 1'!C184)</f>
        <v>Grant Brigid</v>
      </c>
      <c r="C184" s="2" t="str">
        <f>VLOOKUP('Источник 1'!A184,'Источник 1'!A184:G415, 4,0)</f>
        <v>Programmer</v>
      </c>
      <c r="D184" s="2" t="str">
        <f>VLOOKUP('Источник 1'!A184,'Источник 1'!A184:G415,5,0)</f>
        <v>B01</v>
      </c>
      <c r="E184" s="2" t="str">
        <f>IF('Источник 1'!G184&gt;0,"YES","NO")</f>
        <v>NO</v>
      </c>
    </row>
    <row r="185" spans="1:5" x14ac:dyDescent="0.3">
      <c r="A185" s="8">
        <v>90129</v>
      </c>
      <c r="B185" s="2" t="str">
        <f>_xlfn.CONCAT('Источник 1'!B185," ",'Источник 1'!C185)</f>
        <v>Adams Vicky</v>
      </c>
      <c r="C185" s="2" t="str">
        <f>VLOOKUP('Источник 1'!A185,'Источник 1'!A185:G416, 4,0)</f>
        <v>Programmer</v>
      </c>
      <c r="D185" s="2" t="str">
        <f>VLOOKUP('Источник 1'!A185,'Источник 1'!A185:G416,5,0)</f>
        <v>B01</v>
      </c>
      <c r="E185" s="2" t="str">
        <f>IF('Источник 1'!G185&gt;0,"YES","NO")</f>
        <v>NO</v>
      </c>
    </row>
    <row r="186" spans="1:5" x14ac:dyDescent="0.3">
      <c r="A186" s="8">
        <v>90130</v>
      </c>
      <c r="B186" s="2" t="str">
        <f>_xlfn.CONCAT('Источник 1'!B186," ",'Источник 1'!C186)</f>
        <v>Kwiatek Sergey</v>
      </c>
      <c r="C186" s="2" t="str">
        <f>VLOOKUP('Источник 1'!A186,'Источник 1'!A186:G417, 4,0)</f>
        <v>Consultant</v>
      </c>
      <c r="D186" s="2" t="str">
        <f>VLOOKUP('Источник 1'!A186,'Источник 1'!A186:G417,5,0)</f>
        <v>B17</v>
      </c>
      <c r="E186" s="2" t="str">
        <f>IF('Источник 1'!G186&gt;0,"YES","NO")</f>
        <v>NO</v>
      </c>
    </row>
    <row r="187" spans="1:5" x14ac:dyDescent="0.3">
      <c r="A187" s="8">
        <v>90131</v>
      </c>
      <c r="B187" s="2" t="str">
        <f>_xlfn.CONCAT('Источник 1'!B187," ",'Источник 1'!C187)</f>
        <v>Leitner Margot</v>
      </c>
      <c r="C187" s="2" t="str">
        <f>VLOOKUP('Источник 1'!A187,'Источник 1'!A187:G418, 4,0)</f>
        <v>Consultant</v>
      </c>
      <c r="D187" s="2" t="str">
        <f>VLOOKUP('Источник 1'!A187,'Источник 1'!A187:G418,5,0)</f>
        <v>B09</v>
      </c>
      <c r="E187" s="2" t="str">
        <f>IF('Источник 1'!G187&gt;0,"YES","NO")</f>
        <v>NO</v>
      </c>
    </row>
    <row r="188" spans="1:5" x14ac:dyDescent="0.3">
      <c r="A188" s="8">
        <v>90132</v>
      </c>
      <c r="B188" s="2" t="str">
        <f>_xlfn.CONCAT('Источник 1'!B188," ",'Источник 1'!C188)</f>
        <v>Wilson Patricia</v>
      </c>
      <c r="C188" s="2" t="str">
        <f>VLOOKUP('Источник 1'!A188,'Источник 1'!A188:G419, 4,0)</f>
        <v>Senior Manager</v>
      </c>
      <c r="D188" s="2" t="str">
        <f>VLOOKUP('Источник 1'!A188,'Источник 1'!A188:G419,5,0)</f>
        <v>B90</v>
      </c>
      <c r="E188" s="2" t="str">
        <f>IF('Источник 1'!G188&gt;0,"YES","NO")</f>
        <v>YES</v>
      </c>
    </row>
    <row r="189" spans="1:5" x14ac:dyDescent="0.3">
      <c r="A189" s="8">
        <v>90133</v>
      </c>
      <c r="B189" s="2" t="str">
        <f>_xlfn.CONCAT('Источник 1'!B189," ",'Источник 1'!C189)</f>
        <v>Harris Daniel</v>
      </c>
      <c r="C189" s="2" t="str">
        <f>VLOOKUP('Источник 1'!A189,'Источник 1'!A189:G420, 4,0)</f>
        <v>Consultant</v>
      </c>
      <c r="D189" s="2" t="str">
        <f>VLOOKUP('Источник 1'!A189,'Источник 1'!A189:G420,5,0)</f>
        <v>B90</v>
      </c>
      <c r="E189" s="2" t="str">
        <f>IF('Источник 1'!G189&gt;0,"YES","NO")</f>
        <v>NO</v>
      </c>
    </row>
    <row r="190" spans="1:5" x14ac:dyDescent="0.3">
      <c r="A190" s="8">
        <v>90134</v>
      </c>
      <c r="B190" s="2" t="str">
        <f>_xlfn.CONCAT('Источник 1'!B190," ",'Источник 1'!C190)</f>
        <v>Robinson Amanda</v>
      </c>
      <c r="C190" s="2" t="str">
        <f>VLOOKUP('Источник 1'!A190,'Источник 1'!A190:G421, 4,0)</f>
        <v>Consultant</v>
      </c>
      <c r="D190" s="2" t="str">
        <f>VLOOKUP('Источник 1'!A190,'Источник 1'!A190:G421,5,0)</f>
        <v>B90</v>
      </c>
      <c r="E190" s="2" t="str">
        <f>IF('Источник 1'!G190&gt;0,"YES","NO")</f>
        <v>NO</v>
      </c>
    </row>
    <row r="191" spans="1:5" x14ac:dyDescent="0.3">
      <c r="A191" s="8">
        <v>90135</v>
      </c>
      <c r="B191" s="2" t="str">
        <f>_xlfn.CONCAT('Источник 1'!B191," ",'Источник 1'!C191)</f>
        <v>Nguyen Francesca</v>
      </c>
      <c r="C191" s="2" t="str">
        <f>VLOOKUP('Источник 1'!A191,'Источник 1'!A191:G422, 4,0)</f>
        <v>Senior Manager</v>
      </c>
      <c r="D191" s="2" t="str">
        <f>VLOOKUP('Источник 1'!A191,'Источник 1'!A191:G422,5,0)</f>
        <v>B89</v>
      </c>
      <c r="E191" s="2" t="str">
        <f>IF('Источник 1'!G191&gt;0,"YES","NO")</f>
        <v>YES</v>
      </c>
    </row>
    <row r="192" spans="1:5" x14ac:dyDescent="0.3">
      <c r="A192" s="8">
        <v>90136</v>
      </c>
      <c r="B192" s="2" t="str">
        <f>_xlfn.CONCAT('Источник 1'!B192," ",'Источник 1'!C192)</f>
        <v>Kelly Christopher</v>
      </c>
      <c r="C192" s="2" t="str">
        <f>VLOOKUP('Источник 1'!A192,'Источник 1'!A192:G423, 4,0)</f>
        <v>Consultant</v>
      </c>
      <c r="D192" s="2" t="str">
        <f>VLOOKUP('Источник 1'!A192,'Источник 1'!A192:G423,5,0)</f>
        <v>B89</v>
      </c>
      <c r="E192" s="2" t="str">
        <f>IF('Источник 1'!G192&gt;0,"YES","NO")</f>
        <v>YES</v>
      </c>
    </row>
    <row r="193" spans="1:5" x14ac:dyDescent="0.3">
      <c r="A193" s="8">
        <v>90137</v>
      </c>
      <c r="B193" s="2" t="str">
        <f>_xlfn.CONCAT('Источник 1'!B193," ",'Источник 1'!C193)</f>
        <v>Phan Victoria</v>
      </c>
      <c r="C193" s="2" t="str">
        <f>VLOOKUP('Источник 1'!A193,'Источник 1'!A193:G424, 4,0)</f>
        <v>Consultant</v>
      </c>
      <c r="D193" s="2" t="str">
        <f>VLOOKUP('Источник 1'!A193,'Источник 1'!A193:G424,5,0)</f>
        <v>B89</v>
      </c>
      <c r="E193" s="2" t="str">
        <f>IF('Источник 1'!G193&gt;0,"YES","NO")</f>
        <v>YES</v>
      </c>
    </row>
    <row r="194" spans="1:5" x14ac:dyDescent="0.3">
      <c r="A194" s="8">
        <v>90138</v>
      </c>
      <c r="B194" s="2" t="str">
        <f>_xlfn.CONCAT('Источник 1'!B194," ",'Источник 1'!C194)</f>
        <v>Brown Vicky</v>
      </c>
      <c r="C194" s="2" t="str">
        <f>VLOOKUP('Источник 1'!A194,'Источник 1'!A194:G425, 4,0)</f>
        <v>Programmer</v>
      </c>
      <c r="D194" s="2" t="str">
        <f>VLOOKUP('Источник 1'!A194,'Источник 1'!A194:G425,5,0)</f>
        <v>B01</v>
      </c>
      <c r="E194" s="2" t="str">
        <f>IF('Источник 1'!G194&gt;0,"YES","NO")</f>
        <v>NO</v>
      </c>
    </row>
    <row r="195" spans="1:5" x14ac:dyDescent="0.3">
      <c r="A195" s="8">
        <v>90139</v>
      </c>
      <c r="B195" s="2" t="str">
        <f>_xlfn.CONCAT('Источник 1'!B195," ",'Источник 1'!C195)</f>
        <v>Strzelecki Olga</v>
      </c>
      <c r="C195" s="2" t="str">
        <f>VLOOKUP('Источник 1'!A195,'Источник 1'!A195:G426, 4,0)</f>
        <v>Senior Manager</v>
      </c>
      <c r="D195" s="2" t="str">
        <f>VLOOKUP('Источник 1'!A195,'Источник 1'!A195:G426,5,0)</f>
        <v>B88</v>
      </c>
      <c r="E195" s="2" t="str">
        <f>IF('Источник 1'!G195&gt;0,"YES","NO")</f>
        <v>YES</v>
      </c>
    </row>
    <row r="196" spans="1:5" x14ac:dyDescent="0.3">
      <c r="A196" s="8">
        <v>90140</v>
      </c>
      <c r="B196" s="2" t="str">
        <f>_xlfn.CONCAT('Источник 1'!B196," ",'Источник 1'!C196)</f>
        <v>Fujiwara Victoria</v>
      </c>
      <c r="C196" s="2" t="str">
        <f>VLOOKUP('Источник 1'!A196,'Источник 1'!A196:G427, 4,0)</f>
        <v>Consultant</v>
      </c>
      <c r="D196" s="2" t="str">
        <f>VLOOKUP('Источник 1'!A196,'Источник 1'!A196:G427,5,0)</f>
        <v>B88</v>
      </c>
      <c r="E196" s="2" t="str">
        <f>IF('Источник 1'!G196&gt;0,"YES","NO")</f>
        <v>NO</v>
      </c>
    </row>
    <row r="197" spans="1:5" x14ac:dyDescent="0.3">
      <c r="A197" s="8">
        <v>90141</v>
      </c>
      <c r="B197" s="2" t="str">
        <f>_xlfn.CONCAT('Источник 1'!B197," ",'Источник 1'!C197)</f>
        <v>Katz Robert</v>
      </c>
      <c r="C197" s="2" t="str">
        <f>VLOOKUP('Источник 1'!A197,'Источник 1'!A197:G428, 4,0)</f>
        <v>Senior Manager</v>
      </c>
      <c r="D197" s="2" t="str">
        <f>VLOOKUP('Источник 1'!A197,'Источник 1'!A197:G428,5,0)</f>
        <v>B87</v>
      </c>
      <c r="E197" s="2" t="str">
        <f>IF('Источник 1'!G197&gt;0,"YES","NO")</f>
        <v>NO</v>
      </c>
    </row>
    <row r="198" spans="1:5" x14ac:dyDescent="0.3">
      <c r="A198" s="8">
        <v>90142</v>
      </c>
      <c r="B198" s="2" t="str">
        <f>_xlfn.CONCAT('Источник 1'!B198," ",'Источник 1'!C198)</f>
        <v>Sakamoto Noriko</v>
      </c>
      <c r="C198" s="2" t="str">
        <f>VLOOKUP('Источник 1'!A198,'Источник 1'!A198:G429, 4,0)</f>
        <v>Consultant</v>
      </c>
      <c r="D198" s="2" t="str">
        <f>VLOOKUP('Источник 1'!A198,'Источник 1'!A198:G429,5,0)</f>
        <v>B87</v>
      </c>
      <c r="E198" s="2" t="str">
        <f>IF('Источник 1'!G198&gt;0,"YES","NO")</f>
        <v>NO</v>
      </c>
    </row>
    <row r="199" spans="1:5" x14ac:dyDescent="0.3">
      <c r="A199" s="8">
        <v>90143</v>
      </c>
      <c r="B199" s="2" t="str">
        <f>_xlfn.CONCAT('Источник 1'!B199," ",'Источник 1'!C199)</f>
        <v>Rybacki Wlodzimierz</v>
      </c>
      <c r="C199" s="2" t="str">
        <f>VLOOKUP('Источник 1'!A199,'Источник 1'!A199:G430, 4,0)</f>
        <v>System Engineer</v>
      </c>
      <c r="D199" s="2" t="str">
        <f>VLOOKUP('Источник 1'!A199,'Источник 1'!A199:G430,5,0)</f>
        <v>B03</v>
      </c>
      <c r="E199" s="2" t="str">
        <f>IF('Источник 1'!G199&gt;0,"YES","NO")</f>
        <v>NO</v>
      </c>
    </row>
    <row r="200" spans="1:5" x14ac:dyDescent="0.3">
      <c r="A200" s="8">
        <v>90144</v>
      </c>
      <c r="B200" s="2" t="str">
        <f>_xlfn.CONCAT('Источник 1'!B200," ",'Источник 1'!C200)</f>
        <v>Sowa Teresa</v>
      </c>
      <c r="C200" s="2" t="str">
        <f>VLOOKUP('Источник 1'!A200,'Источник 1'!A200:G431, 4,0)</f>
        <v>Project Manager</v>
      </c>
      <c r="D200" s="2" t="str">
        <f>VLOOKUP('Источник 1'!A200,'Источник 1'!A200:G431,5,0)</f>
        <v>B03</v>
      </c>
      <c r="E200" s="2" t="str">
        <f>IF('Источник 1'!G200&gt;0,"YES","NO")</f>
        <v>NO</v>
      </c>
    </row>
    <row r="201" spans="1:5" x14ac:dyDescent="0.3">
      <c r="A201" s="8">
        <v>90145</v>
      </c>
      <c r="B201" s="2" t="str">
        <f>_xlfn.CONCAT('Источник 1'!B201," ",'Источник 1'!C201)</f>
        <v>Green Barbara</v>
      </c>
      <c r="C201" s="2" t="str">
        <f>VLOOKUP('Источник 1'!A201,'Источник 1'!A201:G432, 4,0)</f>
        <v>Programmer</v>
      </c>
      <c r="D201" s="2" t="str">
        <f>VLOOKUP('Источник 1'!A201,'Источник 1'!A201:G432,5,0)</f>
        <v>B01</v>
      </c>
      <c r="E201" s="2" t="str">
        <f>IF('Источник 1'!G201&gt;0,"YES","NO")</f>
        <v>NO</v>
      </c>
    </row>
    <row r="202" spans="1:5" x14ac:dyDescent="0.3">
      <c r="A202" s="8">
        <v>90146</v>
      </c>
      <c r="B202" s="2" t="str">
        <f>_xlfn.CONCAT('Источник 1'!B202," ",'Источник 1'!C202)</f>
        <v>Brown Pauline</v>
      </c>
      <c r="C202" s="2" t="str">
        <f>VLOOKUP('Источник 1'!A202,'Источник 1'!A202:G433, 4,0)</f>
        <v>Project Manager</v>
      </c>
      <c r="D202" s="2" t="str">
        <f>VLOOKUP('Источник 1'!A202,'Источник 1'!A202:G433,5,0)</f>
        <v>B01</v>
      </c>
      <c r="E202" s="2" t="str">
        <f>IF('Источник 1'!G202&gt;0,"YES","NO")</f>
        <v>NO</v>
      </c>
    </row>
    <row r="203" spans="1:5" x14ac:dyDescent="0.3">
      <c r="A203" s="8">
        <v>90147</v>
      </c>
      <c r="B203" s="2" t="str">
        <f>_xlfn.CONCAT('Источник 1'!B203," ",'Источник 1'!C203)</f>
        <v>Hall Jessica</v>
      </c>
      <c r="C203" s="2" t="str">
        <f>VLOOKUP('Источник 1'!A203,'Источник 1'!A203:G434, 4,0)</f>
        <v>Programmer</v>
      </c>
      <c r="D203" s="2" t="str">
        <f>VLOOKUP('Источник 1'!A203,'Источник 1'!A203:G434,5,0)</f>
        <v>B01</v>
      </c>
      <c r="E203" s="2" t="str">
        <f>IF('Источник 1'!G203&gt;0,"YES","NO")</f>
        <v>NO</v>
      </c>
    </row>
    <row r="204" spans="1:5" x14ac:dyDescent="0.3">
      <c r="A204" s="8">
        <v>70148</v>
      </c>
      <c r="B204" s="2" t="str">
        <f>_xlfn.CONCAT('Источник 1'!B204," ",'Источник 1'!C204)</f>
        <v>Dabrowska-Brown Hannah</v>
      </c>
      <c r="C204" s="2" t="str">
        <f>VLOOKUP('Источник 1'!A204,'Источник 1'!A204:G435, 4,0)</f>
        <v>Senior Manager</v>
      </c>
      <c r="D204" s="2" t="str">
        <f>VLOOKUP('Источник 1'!A204,'Источник 1'!A204:G435,5,0)</f>
        <v>B86</v>
      </c>
      <c r="E204" s="2" t="str">
        <f>IF('Источник 1'!G204&gt;0,"YES","NO")</f>
        <v>NO</v>
      </c>
    </row>
    <row r="205" spans="1:5" x14ac:dyDescent="0.3">
      <c r="A205" s="8">
        <v>70149</v>
      </c>
      <c r="B205" s="2" t="str">
        <f>_xlfn.CONCAT('Источник 1'!B205," ",'Источник 1'!C205)</f>
        <v>Smith Natalie</v>
      </c>
      <c r="C205" s="2" t="str">
        <f>VLOOKUP('Источник 1'!A205,'Источник 1'!A205:G436, 4,0)</f>
        <v>Consultant</v>
      </c>
      <c r="D205" s="2" t="str">
        <f>VLOOKUP('Источник 1'!A205,'Источник 1'!A205:G436,5,0)</f>
        <v>B86</v>
      </c>
      <c r="E205" s="2" t="str">
        <f>IF('Источник 1'!G205&gt;0,"YES","NO")</f>
        <v>NO</v>
      </c>
    </row>
    <row r="206" spans="1:5" x14ac:dyDescent="0.3">
      <c r="A206" s="8">
        <v>70150</v>
      </c>
      <c r="B206" s="2" t="str">
        <f>_xlfn.CONCAT('Источник 1'!B206," ",'Источник 1'!C206)</f>
        <v>Zawacka Magda</v>
      </c>
      <c r="C206" s="2" t="str">
        <f>VLOOKUP('Источник 1'!A206,'Источник 1'!A206:G437, 4,0)</f>
        <v>System Engineer</v>
      </c>
      <c r="D206" s="2" t="str">
        <f>VLOOKUP('Источник 1'!A206,'Источник 1'!A206:G437,5,0)</f>
        <v>B03</v>
      </c>
      <c r="E206" s="2" t="str">
        <f>IF('Источник 1'!G206&gt;0,"YES","NO")</f>
        <v>NO</v>
      </c>
    </row>
    <row r="207" spans="1:5" x14ac:dyDescent="0.3">
      <c r="A207" s="8">
        <v>70151</v>
      </c>
      <c r="B207" s="2" t="str">
        <f>_xlfn.CONCAT('Источник 1'!B207," ",'Источник 1'!C207)</f>
        <v>Hall Henry</v>
      </c>
      <c r="C207" s="2" t="str">
        <f>VLOOKUP('Источник 1'!A207,'Источник 1'!A207:G438, 4,0)</f>
        <v>Programmer</v>
      </c>
      <c r="D207" s="2" t="str">
        <f>VLOOKUP('Источник 1'!A207,'Источник 1'!A207:G438,5,0)</f>
        <v>B01</v>
      </c>
      <c r="E207" s="2" t="str">
        <f>IF('Источник 1'!G207&gt;0,"YES","NO")</f>
        <v>NO</v>
      </c>
    </row>
    <row r="208" spans="1:5" x14ac:dyDescent="0.3">
      <c r="A208" s="8">
        <v>70152</v>
      </c>
      <c r="B208" s="2" t="str">
        <f>_xlfn.CONCAT('Источник 1'!B208," ",'Источник 1'!C208)</f>
        <v>Volkov Sergey</v>
      </c>
      <c r="C208" s="2" t="str">
        <f>VLOOKUP('Источник 1'!A208,'Источник 1'!A208:G439, 4,0)</f>
        <v>Consultant</v>
      </c>
      <c r="D208" s="2" t="str">
        <f>VLOOKUP('Источник 1'!A208,'Источник 1'!A208:G439,5,0)</f>
        <v>B17</v>
      </c>
      <c r="E208" s="2" t="str">
        <f>IF('Источник 1'!G208&gt;0,"YES","NO")</f>
        <v>NO</v>
      </c>
    </row>
    <row r="209" spans="1:5" x14ac:dyDescent="0.3">
      <c r="A209" s="8">
        <v>70153</v>
      </c>
      <c r="B209" s="2" t="str">
        <f>_xlfn.CONCAT('Источник 1'!B209," ",'Источник 1'!C209)</f>
        <v>Wang Natalie</v>
      </c>
      <c r="C209" s="2" t="str">
        <f>VLOOKUP('Источник 1'!A209,'Источник 1'!A209:G440, 4,0)</f>
        <v>Consultant</v>
      </c>
      <c r="D209" s="2" t="str">
        <f>VLOOKUP('Источник 1'!A209,'Источник 1'!A209:G440,5,0)</f>
        <v>B86</v>
      </c>
      <c r="E209" s="2" t="str">
        <f>IF('Источник 1'!G209&gt;0,"YES","NO")</f>
        <v>NO</v>
      </c>
    </row>
    <row r="210" spans="1:5" x14ac:dyDescent="0.3">
      <c r="A210" s="8">
        <v>70154</v>
      </c>
      <c r="B210" s="2" t="str">
        <f>_xlfn.CONCAT('Источник 1'!B210," ",'Источник 1'!C210)</f>
        <v>Adams Martha</v>
      </c>
      <c r="C210" s="2" t="str">
        <f>VLOOKUP('Источник 1'!A210,'Источник 1'!A210:G441, 4,0)</f>
        <v>Programmer</v>
      </c>
      <c r="D210" s="2" t="str">
        <f>VLOOKUP('Источник 1'!A210,'Источник 1'!A210:G441,5,0)</f>
        <v>B01</v>
      </c>
      <c r="E210" s="2" t="str">
        <f>IF('Источник 1'!G210&gt;0,"YES","NO")</f>
        <v>NO</v>
      </c>
    </row>
    <row r="211" spans="1:5" x14ac:dyDescent="0.3">
      <c r="A211" s="8">
        <v>70155</v>
      </c>
      <c r="B211" s="2" t="str">
        <f>_xlfn.CONCAT('Источник 1'!B211," ",'Источник 1'!C211)</f>
        <v>Verma Anil</v>
      </c>
      <c r="C211" s="2" t="str">
        <f>VLOOKUP('Источник 1'!A211,'Источник 1'!A211:G442, 4,0)</f>
        <v>Senior Manager</v>
      </c>
      <c r="D211" s="2" t="str">
        <f>VLOOKUP('Источник 1'!A211,'Источник 1'!A211:G442,5,0)</f>
        <v>B85</v>
      </c>
      <c r="E211" s="2" t="str">
        <f>IF('Источник 1'!G211&gt;0,"YES","NO")</f>
        <v>YES</v>
      </c>
    </row>
    <row r="212" spans="1:5" x14ac:dyDescent="0.3">
      <c r="A212" s="8">
        <v>70156</v>
      </c>
      <c r="B212" s="2" t="str">
        <f>_xlfn.CONCAT('Источник 1'!B212," ",'Источник 1'!C212)</f>
        <v>Malhotra Rajiv</v>
      </c>
      <c r="C212" s="2" t="str">
        <f>VLOOKUP('Источник 1'!A212,'Источник 1'!A212:G443, 4,0)</f>
        <v>Senior Manager</v>
      </c>
      <c r="D212" s="2" t="str">
        <f>VLOOKUP('Источник 1'!A212,'Источник 1'!A212:G443,5,0)</f>
        <v>B84</v>
      </c>
      <c r="E212" s="2" t="str">
        <f>IF('Источник 1'!G212&gt;0,"YES","NO")</f>
        <v>YES</v>
      </c>
    </row>
    <row r="213" spans="1:5" x14ac:dyDescent="0.3">
      <c r="A213" s="8">
        <v>70157</v>
      </c>
      <c r="B213" s="2" t="str">
        <f>_xlfn.CONCAT('Источник 1'!B213," ",'Источник 1'!C213)</f>
        <v>Bhatnagar Amlan</v>
      </c>
      <c r="C213" s="2" t="str">
        <f>VLOOKUP('Источник 1'!A213,'Источник 1'!A213:G444, 4,0)</f>
        <v>Consultant</v>
      </c>
      <c r="D213" s="2" t="str">
        <f>VLOOKUP('Источник 1'!A213,'Источник 1'!A213:G444,5,0)</f>
        <v>B83</v>
      </c>
      <c r="E213" s="2" t="str">
        <f>IF('Источник 1'!G213&gt;0,"YES","NO")</f>
        <v>NO</v>
      </c>
    </row>
    <row r="214" spans="1:5" x14ac:dyDescent="0.3">
      <c r="A214" s="8">
        <v>70158</v>
      </c>
      <c r="B214" s="2" t="str">
        <f>_xlfn.CONCAT('Источник 1'!B214," ",'Источник 1'!C214)</f>
        <v>Singh Shah</v>
      </c>
      <c r="C214" s="2" t="str">
        <f>VLOOKUP('Источник 1'!A214,'Источник 1'!A214:G445, 4,0)</f>
        <v>Consultant</v>
      </c>
      <c r="D214" s="2" t="str">
        <f>VLOOKUP('Источник 1'!A214,'Источник 1'!A214:G445,5,0)</f>
        <v>B84</v>
      </c>
      <c r="E214" s="2" t="str">
        <f>IF('Источник 1'!G214&gt;0,"YES","NO")</f>
        <v>NO</v>
      </c>
    </row>
    <row r="215" spans="1:5" x14ac:dyDescent="0.3">
      <c r="A215" s="8">
        <v>70159</v>
      </c>
      <c r="B215" s="2" t="str">
        <f>_xlfn.CONCAT('Источник 1'!B215," ",'Источник 1'!C215)</f>
        <v>Kapur Faisal</v>
      </c>
      <c r="C215" s="2" t="str">
        <f>VLOOKUP('Источник 1'!A215,'Источник 1'!A215:G446, 4,0)</f>
        <v>Consultant</v>
      </c>
      <c r="D215" s="2" t="str">
        <f>VLOOKUP('Источник 1'!A215,'Источник 1'!A215:G446,5,0)</f>
        <v>B83</v>
      </c>
      <c r="E215" s="2" t="str">
        <f>IF('Источник 1'!G215&gt;0,"YES","NO")</f>
        <v>NO</v>
      </c>
    </row>
    <row r="216" spans="1:5" x14ac:dyDescent="0.3">
      <c r="A216" s="8">
        <v>70160</v>
      </c>
      <c r="B216" s="2" t="str">
        <f>_xlfn.CONCAT('Источник 1'!B216," ",'Источник 1'!C216)</f>
        <v>Brzoza Magda</v>
      </c>
      <c r="C216" s="2" t="str">
        <f>VLOOKUP('Источник 1'!A216,'Источник 1'!A216:G447, 4,0)</f>
        <v>System Engineer</v>
      </c>
      <c r="D216" s="2" t="str">
        <f>VLOOKUP('Источник 1'!A216,'Источник 1'!A216:G447,5,0)</f>
        <v>B03</v>
      </c>
      <c r="E216" s="2" t="str">
        <f>IF('Источник 1'!G216&gt;0,"YES","NO")</f>
        <v>NO</v>
      </c>
    </row>
    <row r="217" spans="1:5" x14ac:dyDescent="0.3">
      <c r="A217" s="8">
        <v>70161</v>
      </c>
      <c r="B217" s="2" t="str">
        <f>_xlfn.CONCAT('Источник 1'!B217," ",'Источник 1'!C217)</f>
        <v>Zalewska Maryla</v>
      </c>
      <c r="C217" s="2" t="str">
        <f>VLOOKUP('Источник 1'!A217,'Источник 1'!A217:G448, 4,0)</f>
        <v>Software Developer</v>
      </c>
      <c r="D217" s="2" t="str">
        <f>VLOOKUP('Источник 1'!A217,'Источник 1'!A217:G448,5,0)</f>
        <v>B03</v>
      </c>
      <c r="E217" s="2" t="str">
        <f>IF('Источник 1'!G217&gt;0,"YES","NO")</f>
        <v>YES</v>
      </c>
    </row>
    <row r="218" spans="1:5" x14ac:dyDescent="0.3">
      <c r="A218" s="8">
        <v>70162</v>
      </c>
      <c r="B218" s="2" t="str">
        <f>_xlfn.CONCAT('Источник 1'!B218," ",'Источник 1'!C218)</f>
        <v>Sinha Safi</v>
      </c>
      <c r="C218" s="2" t="str">
        <f>VLOOKUP('Источник 1'!A218,'Источник 1'!A218:G449, 4,0)</f>
        <v>Software Developer</v>
      </c>
      <c r="D218" s="2" t="str">
        <f>VLOOKUP('Источник 1'!A218,'Источник 1'!A218:G449,5,0)</f>
        <v>B83</v>
      </c>
      <c r="E218" s="2" t="str">
        <f>IF('Источник 1'!G218&gt;0,"YES","NO")</f>
        <v>YES</v>
      </c>
    </row>
    <row r="219" spans="1:5" x14ac:dyDescent="0.3">
      <c r="A219" s="8">
        <v>70163</v>
      </c>
      <c r="B219" s="2" t="str">
        <f>_xlfn.CONCAT('Источник 1'!B219," ",'Источник 1'!C219)</f>
        <v>Agrawal  Sema</v>
      </c>
      <c r="C219" s="2" t="str">
        <f>VLOOKUP('Источник 1'!A219,'Источник 1'!A219:G450, 4,0)</f>
        <v>Software Developer</v>
      </c>
      <c r="D219" s="2" t="str">
        <f>VLOOKUP('Источник 1'!A219,'Источник 1'!A219:G450,5,0)</f>
        <v>B83</v>
      </c>
      <c r="E219" s="2" t="str">
        <f>IF('Источник 1'!G219&gt;0,"YES","NO")</f>
        <v>NO</v>
      </c>
    </row>
    <row r="220" spans="1:5" x14ac:dyDescent="0.3">
      <c r="A220" s="8">
        <v>70164</v>
      </c>
      <c r="B220" s="2" t="str">
        <f>_xlfn.CONCAT('Источник 1'!B220," ",'Источник 1'!C220)</f>
        <v>Agrawal  Bobby</v>
      </c>
      <c r="C220" s="2" t="str">
        <f>VLOOKUP('Источник 1'!A220,'Источник 1'!A220:G451, 4,0)</f>
        <v>Senior Manager</v>
      </c>
      <c r="D220" s="2" t="str">
        <f>VLOOKUP('Источник 1'!A220,'Источник 1'!A220:G451,5,0)</f>
        <v>B83</v>
      </c>
      <c r="E220" s="2" t="str">
        <f>IF('Источник 1'!G220&gt;0,"YES","NO")</f>
        <v>YES</v>
      </c>
    </row>
    <row r="221" spans="1:5" x14ac:dyDescent="0.3">
      <c r="A221" s="8">
        <v>70165</v>
      </c>
      <c r="B221" s="2" t="str">
        <f>_xlfn.CONCAT('Источник 1'!B221," ",'Источник 1'!C221)</f>
        <v>Saxena Rajat</v>
      </c>
      <c r="C221" s="2" t="str">
        <f>VLOOKUP('Источник 1'!A221,'Источник 1'!A221:G452, 4,0)</f>
        <v>Consultant</v>
      </c>
      <c r="D221" s="2" t="str">
        <f>VLOOKUP('Источник 1'!A221,'Источник 1'!A221:G452,5,0)</f>
        <v>B83</v>
      </c>
      <c r="E221" s="2" t="str">
        <f>IF('Источник 1'!G221&gt;0,"YES","NO")</f>
        <v>YES</v>
      </c>
    </row>
    <row r="222" spans="1:5" x14ac:dyDescent="0.3">
      <c r="A222" s="8">
        <v>70166</v>
      </c>
      <c r="B222" s="2" t="str">
        <f>_xlfn.CONCAT('Источник 1'!B222," ",'Источник 1'!C222)</f>
        <v>Jaiswal Jonny</v>
      </c>
      <c r="C222" s="2" t="str">
        <f>VLOOKUP('Источник 1'!A222,'Источник 1'!A222:G453, 4,0)</f>
        <v>System Engineer</v>
      </c>
      <c r="D222" s="2" t="str">
        <f>VLOOKUP('Источник 1'!A222,'Источник 1'!A222:G453,5,0)</f>
        <v>B83</v>
      </c>
      <c r="E222" s="2" t="str">
        <f>IF('Источник 1'!G222&gt;0,"YES","NO")</f>
        <v>YES</v>
      </c>
    </row>
    <row r="223" spans="1:5" x14ac:dyDescent="0.3">
      <c r="A223" s="8">
        <v>70167</v>
      </c>
      <c r="B223" s="2" t="str">
        <f>_xlfn.CONCAT('Источник 1'!B223," ",'Источник 1'!C223)</f>
        <v>Aggarwal Sanjay</v>
      </c>
      <c r="C223" s="2" t="str">
        <f>VLOOKUP('Источник 1'!A223,'Источник 1'!A223:G454, 4,0)</f>
        <v>Software Developer</v>
      </c>
      <c r="D223" s="2" t="str">
        <f>VLOOKUP('Источник 1'!A223,'Источник 1'!A223:G454,5,0)</f>
        <v>B83</v>
      </c>
      <c r="E223" s="2" t="str">
        <f>IF('Источник 1'!G223&gt;0,"YES","NO")</f>
        <v>YES</v>
      </c>
    </row>
    <row r="224" spans="1:5" x14ac:dyDescent="0.3">
      <c r="A224" s="8">
        <v>70168</v>
      </c>
      <c r="B224" s="2" t="str">
        <f>_xlfn.CONCAT('Источник 1'!B224," ",'Источник 1'!C224)</f>
        <v>Sharma Sunil</v>
      </c>
      <c r="C224" s="2" t="str">
        <f>VLOOKUP('Источник 1'!A224,'Источник 1'!A224:G455, 4,0)</f>
        <v>Software Developer</v>
      </c>
      <c r="D224" s="2" t="str">
        <f>VLOOKUP('Источник 1'!A224,'Источник 1'!A224:G455,5,0)</f>
        <v>B83</v>
      </c>
      <c r="E224" s="2" t="str">
        <f>IF('Источник 1'!G224&gt;0,"YES","NO")</f>
        <v>YES</v>
      </c>
    </row>
    <row r="225" spans="1:5" x14ac:dyDescent="0.3">
      <c r="A225" s="8">
        <v>70169</v>
      </c>
      <c r="B225" s="2" t="str">
        <f>_xlfn.CONCAT('Источник 1'!B225," ",'Источник 1'!C225)</f>
        <v>Bhatnagar Mainak</v>
      </c>
      <c r="C225" s="2" t="str">
        <f>VLOOKUP('Источник 1'!A225,'Источник 1'!A225:G456, 4,0)</f>
        <v>Software Developer</v>
      </c>
      <c r="D225" s="2" t="str">
        <f>VLOOKUP('Источник 1'!A225,'Источник 1'!A225:G456,5,0)</f>
        <v>B83</v>
      </c>
      <c r="E225" s="2" t="str">
        <f>IF('Источник 1'!G225&gt;0,"YES","NO")</f>
        <v>YES</v>
      </c>
    </row>
    <row r="226" spans="1:5" x14ac:dyDescent="0.3">
      <c r="A226" s="8">
        <v>50270</v>
      </c>
      <c r="B226" s="2" t="str">
        <f>_xlfn.CONCAT('Источник 1'!B226," ",'Источник 1'!C226)</f>
        <v>Wozniak Tatjana</v>
      </c>
      <c r="C226" s="2" t="str">
        <f>VLOOKUP('Источник 1'!A226,'Источник 1'!A226:G457, 4,0)</f>
        <v>Software Developer</v>
      </c>
      <c r="D226" s="2" t="str">
        <f>VLOOKUP('Источник 1'!A226,'Источник 1'!A226:G457,5,0)</f>
        <v>B17</v>
      </c>
      <c r="E226" s="2" t="str">
        <f>IF('Источник 1'!G226&gt;0,"YES","NO")</f>
        <v>NO</v>
      </c>
    </row>
    <row r="227" spans="1:5" x14ac:dyDescent="0.3">
      <c r="A227" s="8">
        <v>50271</v>
      </c>
      <c r="B227" s="2" t="str">
        <f>_xlfn.CONCAT('Источник 1'!B227," ",'Источник 1'!C227)</f>
        <v>Krasna Swetlana</v>
      </c>
      <c r="C227" s="2" t="str">
        <f>VLOOKUP('Источник 1'!A227,'Источник 1'!A227:G458, 4,0)</f>
        <v>Software Developer</v>
      </c>
      <c r="D227" s="2" t="str">
        <f>VLOOKUP('Источник 1'!A227,'Источник 1'!A227:G458,5,0)</f>
        <v>B17</v>
      </c>
      <c r="E227" s="2" t="str">
        <f>IF('Источник 1'!G227&gt;0,"YES","NO")</f>
        <v>NO</v>
      </c>
    </row>
    <row r="228" spans="1:5" x14ac:dyDescent="0.3">
      <c r="A228" s="8">
        <v>50272</v>
      </c>
      <c r="B228" s="2" t="str">
        <f>_xlfn.CONCAT('Источник 1'!B228," ",'Источник 1'!C228)</f>
        <v>Sharma Amlan</v>
      </c>
      <c r="C228" s="2" t="str">
        <f>VLOOKUP('Источник 1'!A228,'Источник 1'!A228:G459, 4,0)</f>
        <v>Senior Manager</v>
      </c>
      <c r="D228" s="2" t="str">
        <f>VLOOKUP('Источник 1'!A228,'Источник 1'!A228:G459,5,0)</f>
        <v>B82</v>
      </c>
      <c r="E228" s="2" t="str">
        <f>IF('Источник 1'!G228&gt;0,"YES","NO")</f>
        <v>YES</v>
      </c>
    </row>
    <row r="229" spans="1:5" x14ac:dyDescent="0.3">
      <c r="A229" s="8">
        <v>50273</v>
      </c>
      <c r="B229" s="2" t="str">
        <f>_xlfn.CONCAT('Источник 1'!B229," ",'Источник 1'!C229)</f>
        <v>Chatterjee Jagannath</v>
      </c>
      <c r="C229" s="2" t="str">
        <f>VLOOKUP('Источник 1'!A229,'Источник 1'!A229:G460, 4,0)</f>
        <v>Consultant</v>
      </c>
      <c r="D229" s="2" t="str">
        <f>VLOOKUP('Источник 1'!A229,'Источник 1'!A229:G460,5,0)</f>
        <v>B82</v>
      </c>
      <c r="E229" s="2" t="str">
        <f>IF('Источник 1'!G229&gt;0,"YES","NO")</f>
        <v>YES</v>
      </c>
    </row>
    <row r="230" spans="1:5" x14ac:dyDescent="0.3">
      <c r="A230" s="8">
        <v>50274</v>
      </c>
      <c r="B230" s="2" t="str">
        <f>_xlfn.CONCAT('Источник 1'!B230," ",'Источник 1'!C230)</f>
        <v>Maslow Igor</v>
      </c>
      <c r="C230" s="2" t="str">
        <f>VLOOKUP('Источник 1'!A230,'Источник 1'!A230:G461, 4,0)</f>
        <v>Software Developer</v>
      </c>
      <c r="D230" s="2" t="str">
        <f>VLOOKUP('Источник 1'!A230,'Источник 1'!A230:G461,5,0)</f>
        <v>B17</v>
      </c>
      <c r="E230" s="2" t="str">
        <f>IF('Источник 1'!G230&gt;0,"YES","NO")</f>
        <v>NO</v>
      </c>
    </row>
    <row r="231" spans="1:5" x14ac:dyDescent="0.3">
      <c r="A231" s="8">
        <v>50275</v>
      </c>
      <c r="B231" s="2" t="str">
        <f>_xlfn.CONCAT('Источник 1'!B231," ",'Источник 1'!C231)</f>
        <v>Wisniewski Jan</v>
      </c>
      <c r="C231" s="2" t="str">
        <f>VLOOKUP('Источник 1'!A231,'Источник 1'!A231:G462, 4,0)</f>
        <v>Software Developer</v>
      </c>
      <c r="D231" s="2" t="str">
        <f>VLOOKUP('Источник 1'!A231,'Источник 1'!A231:G462,5,0)</f>
        <v>B03</v>
      </c>
      <c r="E231" s="2" t="str">
        <f>IF('Источник 1'!G231&gt;0,"YES","NO")</f>
        <v>YES</v>
      </c>
    </row>
    <row r="232" spans="1:5" x14ac:dyDescent="0.3">
      <c r="A232" s="8">
        <v>50276</v>
      </c>
      <c r="B232" s="2" t="str">
        <f>_xlfn.CONCAT('Источник 1'!B232," ",'Источник 1'!C232)</f>
        <v>Smith John</v>
      </c>
      <c r="C232" s="2" t="str">
        <f>VLOOKUP('Источник 1'!A232,'Источник 1'!A232:G463, 4,0)</f>
        <v>Senior Manager</v>
      </c>
      <c r="D232" s="2" t="str">
        <f>VLOOKUP('Источник 1'!A232,'Источник 1'!A232:G463,5,0)</f>
        <v>B81</v>
      </c>
      <c r="E232" s="2" t="str">
        <f>IF('Источник 1'!G232&gt;0,"YES","NO")</f>
        <v>YES</v>
      </c>
    </row>
    <row r="233" spans="1:5" x14ac:dyDescent="0.3">
      <c r="A233" s="8">
        <v>50277</v>
      </c>
      <c r="B233" s="2" t="str">
        <f>_xlfn.CONCAT('Источник 1'!B233," ",'Источник 1'!C233)</f>
        <v>Smith Sue</v>
      </c>
      <c r="C233" s="2" t="str">
        <f>VLOOKUP('Источник 1'!A233,'Источник 1'!A233:G464, 4,0)</f>
        <v>Consultant</v>
      </c>
      <c r="D233" s="2" t="str">
        <f>VLOOKUP('Источник 1'!A233,'Источник 1'!A233:G464,5,0)</f>
        <v>B81</v>
      </c>
      <c r="E233" s="2" t="str">
        <f>IF('Источник 1'!G233&gt;0,"YES","NO")</f>
        <v>YES</v>
      </c>
    </row>
    <row r="234" spans="1:5" x14ac:dyDescent="0.3">
      <c r="A234" s="8">
        <v>50278</v>
      </c>
      <c r="B234" s="2" t="str">
        <f>_xlfn.CONCAT('Источник 1'!B234," ",'Источник 1'!C234)</f>
        <v>Kowalska Magda</v>
      </c>
      <c r="C234" s="2" t="str">
        <f>VLOOKUP('Источник 1'!A234,'Источник 1'!A234:G465, 4,0)</f>
        <v>System Engineer</v>
      </c>
      <c r="D234" s="2" t="str">
        <f>VLOOKUP('Источник 1'!A234,'Источник 1'!A234:G465,5,0)</f>
        <v>B03</v>
      </c>
      <c r="E234" s="2" t="str">
        <f>IF('Источник 1'!G234&gt;0,"YES","NO")</f>
        <v>NO</v>
      </c>
    </row>
    <row r="235" spans="1:5" x14ac:dyDescent="0.3">
      <c r="A235" s="8">
        <v>50279</v>
      </c>
      <c r="B235" s="2" t="str">
        <f>_xlfn.CONCAT('Источник 1'!B235," ",'Источник 1'!C235)</f>
        <v>Gordon David</v>
      </c>
      <c r="C235" s="2" t="str">
        <f>VLOOKUP('Источник 1'!A235,'Источник 1'!A235:G466, 4,0)</f>
        <v>Programmer</v>
      </c>
      <c r="D235" s="2" t="str">
        <f>VLOOKUP('Источник 1'!A235,'Источник 1'!A235:G466,5,0)</f>
        <v>B01</v>
      </c>
      <c r="E235" s="2" t="str">
        <f>IF('Источник 1'!G235&gt;0,"YES","NO")</f>
        <v>NO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045F-6089-42B8-88E1-50BA0D4824C3}">
  <dimension ref="C3:G24"/>
  <sheetViews>
    <sheetView zoomScale="97" workbookViewId="0">
      <selection activeCell="C24" sqref="C24:G24"/>
    </sheetView>
  </sheetViews>
  <sheetFormatPr defaultRowHeight="14.4" x14ac:dyDescent="0.3"/>
  <sheetData>
    <row r="3" spans="3:3" x14ac:dyDescent="0.3">
      <c r="C3" s="6" t="s">
        <v>365</v>
      </c>
    </row>
    <row r="24" spans="3:7" x14ac:dyDescent="0.3">
      <c r="C24" s="13" t="s">
        <v>652</v>
      </c>
      <c r="D24" s="13"/>
      <c r="E24" s="13"/>
      <c r="F24" s="13"/>
      <c r="G24" s="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7FA8-A8FB-4DCC-94E3-C048C25F5735}">
  <dimension ref="A3:AG19"/>
  <sheetViews>
    <sheetView zoomScale="77" workbookViewId="0">
      <selection activeCell="A3" sqref="A3"/>
    </sheetView>
  </sheetViews>
  <sheetFormatPr defaultRowHeight="14.4" x14ac:dyDescent="0.3"/>
  <cols>
    <col min="1" max="1" width="20" bestFit="1" customWidth="1"/>
    <col min="2" max="2" width="16.21875" bestFit="1" customWidth="1"/>
    <col min="3" max="3" width="7" bestFit="1" customWidth="1"/>
    <col min="4" max="4" width="8" bestFit="1" customWidth="1"/>
    <col min="5" max="32" width="7" bestFit="1" customWidth="1"/>
    <col min="33" max="33" width="11.109375" bestFit="1" customWidth="1"/>
  </cols>
  <sheetData>
    <row r="3" spans="1:33" x14ac:dyDescent="0.3">
      <c r="A3" s="14" t="s">
        <v>656</v>
      </c>
      <c r="B3" s="14" t="s">
        <v>655</v>
      </c>
    </row>
    <row r="4" spans="1:33" x14ac:dyDescent="0.3">
      <c r="A4" s="14" t="s">
        <v>653</v>
      </c>
      <c r="B4" t="s">
        <v>3</v>
      </c>
      <c r="C4" t="s">
        <v>107</v>
      </c>
      <c r="D4" t="s">
        <v>111</v>
      </c>
      <c r="E4" t="s">
        <v>235</v>
      </c>
      <c r="F4" t="s">
        <v>238</v>
      </c>
      <c r="G4" t="s">
        <v>221</v>
      </c>
      <c r="H4" t="s">
        <v>87</v>
      </c>
      <c r="I4" t="s">
        <v>91</v>
      </c>
      <c r="J4" t="s">
        <v>95</v>
      </c>
      <c r="K4" t="s">
        <v>129</v>
      </c>
      <c r="L4" t="s">
        <v>150</v>
      </c>
      <c r="M4" t="s">
        <v>163</v>
      </c>
      <c r="N4" t="s">
        <v>176</v>
      </c>
      <c r="O4" t="s">
        <v>195</v>
      </c>
      <c r="P4" t="s">
        <v>198</v>
      </c>
      <c r="Q4" t="s">
        <v>204</v>
      </c>
      <c r="R4" t="s">
        <v>212</v>
      </c>
      <c r="S4" t="s">
        <v>230</v>
      </c>
      <c r="T4" t="s">
        <v>248</v>
      </c>
      <c r="U4" t="s">
        <v>78</v>
      </c>
      <c r="V4" t="s">
        <v>351</v>
      </c>
      <c r="W4" t="s">
        <v>346</v>
      </c>
      <c r="X4" t="s">
        <v>324</v>
      </c>
      <c r="Y4" t="s">
        <v>322</v>
      </c>
      <c r="Z4" t="s">
        <v>320</v>
      </c>
      <c r="AA4" t="s">
        <v>311</v>
      </c>
      <c r="AB4" t="s">
        <v>299</v>
      </c>
      <c r="AC4" t="s">
        <v>295</v>
      </c>
      <c r="AD4" t="s">
        <v>289</v>
      </c>
      <c r="AE4" t="s">
        <v>282</v>
      </c>
      <c r="AF4" t="s">
        <v>69</v>
      </c>
      <c r="AG4" t="s">
        <v>654</v>
      </c>
    </row>
    <row r="5" spans="1:33" x14ac:dyDescent="0.3">
      <c r="A5" s="15" t="s">
        <v>21</v>
      </c>
      <c r="B5" s="1">
        <v>625000</v>
      </c>
      <c r="C5" s="1">
        <v>50000</v>
      </c>
      <c r="D5" s="1">
        <v>221000</v>
      </c>
      <c r="E5" s="1">
        <v>100000</v>
      </c>
      <c r="F5" s="1">
        <v>257000</v>
      </c>
      <c r="G5" s="1">
        <v>172000</v>
      </c>
      <c r="H5" s="1">
        <v>56000</v>
      </c>
      <c r="I5" s="1">
        <v>145000</v>
      </c>
      <c r="J5" s="1">
        <v>102000</v>
      </c>
      <c r="K5" s="1">
        <v>182000</v>
      </c>
      <c r="L5" s="1">
        <v>35000</v>
      </c>
      <c r="M5" s="1">
        <v>70000</v>
      </c>
      <c r="N5" s="1">
        <v>169000</v>
      </c>
      <c r="O5" s="1">
        <v>50000</v>
      </c>
      <c r="P5" s="1">
        <v>65000</v>
      </c>
      <c r="Q5" s="1">
        <v>120000</v>
      </c>
      <c r="R5" s="1">
        <v>84000</v>
      </c>
      <c r="S5" s="1">
        <v>90000</v>
      </c>
      <c r="T5" s="1">
        <v>210000</v>
      </c>
      <c r="U5" s="1">
        <v>215000</v>
      </c>
      <c r="V5" s="1">
        <v>35000</v>
      </c>
      <c r="W5" s="1">
        <v>21000</v>
      </c>
      <c r="X5" s="1">
        <v>77000</v>
      </c>
      <c r="Y5" s="1">
        <v>29000</v>
      </c>
      <c r="Z5" s="1"/>
      <c r="AA5" s="1">
        <v>96000</v>
      </c>
      <c r="AB5" s="1">
        <v>110000</v>
      </c>
      <c r="AC5" s="1">
        <v>91000</v>
      </c>
      <c r="AD5" s="1">
        <v>120000</v>
      </c>
      <c r="AE5" s="1">
        <v>85000</v>
      </c>
      <c r="AF5" s="1">
        <v>130000</v>
      </c>
      <c r="AG5" s="1">
        <v>3812000</v>
      </c>
    </row>
    <row r="6" spans="1:33" x14ac:dyDescent="0.3">
      <c r="A6" s="15" t="s">
        <v>14</v>
      </c>
      <c r="B6" s="1">
        <v>572000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>
        <v>572000</v>
      </c>
    </row>
    <row r="7" spans="1:33" x14ac:dyDescent="0.3">
      <c r="A7" s="16" t="s">
        <v>29</v>
      </c>
      <c r="B7" s="1">
        <v>100000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>
        <v>100000</v>
      </c>
    </row>
    <row r="8" spans="1:33" x14ac:dyDescent="0.3">
      <c r="A8" s="16" t="s">
        <v>12</v>
      </c>
      <c r="B8" s="1">
        <v>130000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>
        <v>130000</v>
      </c>
    </row>
    <row r="9" spans="1:33" x14ac:dyDescent="0.3">
      <c r="A9" s="16" t="s">
        <v>17</v>
      </c>
      <c r="B9" s="1">
        <v>150000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>
        <v>150000</v>
      </c>
    </row>
    <row r="10" spans="1:33" x14ac:dyDescent="0.3">
      <c r="A10" s="16" t="s">
        <v>38</v>
      </c>
      <c r="B10" s="1">
        <v>96000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>
        <v>96000</v>
      </c>
    </row>
    <row r="11" spans="1:33" x14ac:dyDescent="0.3">
      <c r="A11" s="16" t="s">
        <v>15</v>
      </c>
      <c r="B11" s="1">
        <v>96000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>
        <v>96000</v>
      </c>
    </row>
    <row r="12" spans="1:33" x14ac:dyDescent="0.3">
      <c r="A12" s="15" t="s">
        <v>9</v>
      </c>
      <c r="B12" s="1">
        <v>3003000</v>
      </c>
      <c r="C12" s="1">
        <v>84000</v>
      </c>
      <c r="D12" s="1">
        <v>522000</v>
      </c>
      <c r="E12" s="1"/>
      <c r="F12" s="1"/>
      <c r="G12" s="1"/>
      <c r="H12" s="1"/>
      <c r="I12" s="1"/>
      <c r="J12" s="1"/>
      <c r="K12" s="1">
        <v>125000</v>
      </c>
      <c r="L12" s="1"/>
      <c r="M12" s="1"/>
      <c r="N12" s="1"/>
      <c r="O12" s="1"/>
      <c r="P12" s="1"/>
      <c r="Q12" s="1">
        <v>38000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>
        <v>3772000</v>
      </c>
    </row>
    <row r="13" spans="1:33" x14ac:dyDescent="0.3">
      <c r="A13" s="15" t="s">
        <v>45</v>
      </c>
      <c r="B13" s="1">
        <v>440000</v>
      </c>
      <c r="C13" s="1"/>
      <c r="D13" s="1">
        <v>527000</v>
      </c>
      <c r="E13" s="1"/>
      <c r="F13" s="1"/>
      <c r="G13" s="1"/>
      <c r="H13" s="1"/>
      <c r="I13" s="1"/>
      <c r="J13" s="1"/>
      <c r="K13" s="1">
        <v>125000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>
        <v>1092000</v>
      </c>
    </row>
    <row r="14" spans="1:33" x14ac:dyDescent="0.3">
      <c r="A14" s="15" t="s">
        <v>2</v>
      </c>
      <c r="B14" s="1">
        <v>172000</v>
      </c>
      <c r="C14" s="1">
        <v>160000</v>
      </c>
      <c r="D14" s="1">
        <v>195000</v>
      </c>
      <c r="E14" s="1">
        <v>110000</v>
      </c>
      <c r="F14" s="1">
        <v>130000</v>
      </c>
      <c r="G14" s="1">
        <v>120000</v>
      </c>
      <c r="H14" s="1">
        <v>250000</v>
      </c>
      <c r="I14" s="1">
        <v>90000</v>
      </c>
      <c r="J14" s="1">
        <v>100000</v>
      </c>
      <c r="K14" s="1">
        <v>161000</v>
      </c>
      <c r="L14" s="1">
        <v>120000</v>
      </c>
      <c r="M14" s="1">
        <v>110000</v>
      </c>
      <c r="N14" s="1">
        <v>80000</v>
      </c>
      <c r="O14" s="1">
        <v>250000</v>
      </c>
      <c r="P14" s="1">
        <v>150000</v>
      </c>
      <c r="Q14" s="1">
        <v>185000</v>
      </c>
      <c r="R14" s="1">
        <v>120000</v>
      </c>
      <c r="S14" s="1">
        <v>111000</v>
      </c>
      <c r="T14" s="1">
        <v>255000</v>
      </c>
      <c r="U14" s="1">
        <v>225000</v>
      </c>
      <c r="V14" s="1">
        <v>135000</v>
      </c>
      <c r="W14" s="1">
        <v>210000</v>
      </c>
      <c r="X14" s="1">
        <v>240000</v>
      </c>
      <c r="Y14" s="1">
        <v>240000</v>
      </c>
      <c r="Z14" s="1">
        <v>250000</v>
      </c>
      <c r="AA14" s="1">
        <v>110000</v>
      </c>
      <c r="AB14" s="1">
        <v>190000</v>
      </c>
      <c r="AC14" s="1">
        <v>155000</v>
      </c>
      <c r="AD14" s="1">
        <v>125000</v>
      </c>
      <c r="AE14" s="1">
        <v>145000</v>
      </c>
      <c r="AF14" s="1">
        <v>210000</v>
      </c>
      <c r="AG14" s="1">
        <v>5104000</v>
      </c>
    </row>
    <row r="15" spans="1:33" x14ac:dyDescent="0.3">
      <c r="A15" s="15" t="s">
        <v>35</v>
      </c>
      <c r="B15" s="1">
        <v>338000</v>
      </c>
      <c r="C15" s="1"/>
      <c r="D15" s="1">
        <v>196000</v>
      </c>
      <c r="E15" s="1"/>
      <c r="F15" s="1"/>
      <c r="G15" s="1"/>
      <c r="H15" s="1"/>
      <c r="I15" s="1"/>
      <c r="J15" s="1"/>
      <c r="K15" s="1"/>
      <c r="L15" s="1"/>
      <c r="M15" s="1"/>
      <c r="N15" s="1">
        <v>55000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>
        <v>87000</v>
      </c>
      <c r="AG15" s="1">
        <v>676000</v>
      </c>
    </row>
    <row r="16" spans="1:33" x14ac:dyDescent="0.3">
      <c r="A16" s="15" t="s">
        <v>36</v>
      </c>
      <c r="B16" s="1">
        <v>304000</v>
      </c>
      <c r="C16" s="1"/>
      <c r="D16" s="1">
        <v>54000</v>
      </c>
      <c r="E16" s="1"/>
      <c r="F16" s="1"/>
      <c r="G16" s="1">
        <v>87000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>
        <v>127000</v>
      </c>
      <c r="Y16" s="1"/>
      <c r="Z16" s="1"/>
      <c r="AA16" s="1"/>
      <c r="AB16" s="1"/>
      <c r="AC16" s="1"/>
      <c r="AD16" s="1"/>
      <c r="AE16" s="1"/>
      <c r="AF16" s="1"/>
      <c r="AG16" s="1">
        <v>572000</v>
      </c>
    </row>
    <row r="17" spans="1:33" x14ac:dyDescent="0.3">
      <c r="A17" s="15" t="s">
        <v>6</v>
      </c>
      <c r="B17" s="1">
        <v>184000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>
        <v>184000</v>
      </c>
    </row>
    <row r="18" spans="1:33" x14ac:dyDescent="0.3">
      <c r="A18" s="15" t="s">
        <v>49</v>
      </c>
      <c r="B18" s="1">
        <v>186000</v>
      </c>
      <c r="C18" s="1"/>
      <c r="D18" s="1">
        <v>289000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>
        <v>21000</v>
      </c>
      <c r="Y18" s="1"/>
      <c r="Z18" s="1"/>
      <c r="AA18" s="1"/>
      <c r="AB18" s="1"/>
      <c r="AC18" s="1"/>
      <c r="AD18" s="1"/>
      <c r="AE18" s="1"/>
      <c r="AF18" s="1"/>
      <c r="AG18" s="1">
        <v>496000</v>
      </c>
    </row>
    <row r="19" spans="1:33" x14ac:dyDescent="0.3">
      <c r="A19" s="15" t="s">
        <v>654</v>
      </c>
      <c r="B19" s="1">
        <v>5824000</v>
      </c>
      <c r="C19" s="1">
        <v>294000</v>
      </c>
      <c r="D19" s="1">
        <v>2004000</v>
      </c>
      <c r="E19" s="1">
        <v>210000</v>
      </c>
      <c r="F19" s="1">
        <v>387000</v>
      </c>
      <c r="G19" s="1">
        <v>379000</v>
      </c>
      <c r="H19" s="1">
        <v>306000</v>
      </c>
      <c r="I19" s="1">
        <v>235000</v>
      </c>
      <c r="J19" s="1">
        <v>202000</v>
      </c>
      <c r="K19" s="1">
        <v>593000</v>
      </c>
      <c r="L19" s="1">
        <v>155000</v>
      </c>
      <c r="M19" s="1">
        <v>180000</v>
      </c>
      <c r="N19" s="1">
        <v>304000</v>
      </c>
      <c r="O19" s="1">
        <v>300000</v>
      </c>
      <c r="P19" s="1">
        <v>215000</v>
      </c>
      <c r="Q19" s="1">
        <v>343000</v>
      </c>
      <c r="R19" s="1">
        <v>204000</v>
      </c>
      <c r="S19" s="1">
        <v>201000</v>
      </c>
      <c r="T19" s="1">
        <v>465000</v>
      </c>
      <c r="U19" s="1">
        <v>440000</v>
      </c>
      <c r="V19" s="1">
        <v>170000</v>
      </c>
      <c r="W19" s="1">
        <v>231000</v>
      </c>
      <c r="X19" s="1">
        <v>465000</v>
      </c>
      <c r="Y19" s="1">
        <v>269000</v>
      </c>
      <c r="Z19" s="1">
        <v>250000</v>
      </c>
      <c r="AA19" s="1">
        <v>206000</v>
      </c>
      <c r="AB19" s="1">
        <v>300000</v>
      </c>
      <c r="AC19" s="1">
        <v>246000</v>
      </c>
      <c r="AD19" s="1">
        <v>245000</v>
      </c>
      <c r="AE19" s="1">
        <v>230000</v>
      </c>
      <c r="AF19" s="1">
        <v>427000</v>
      </c>
      <c r="AG19" s="1">
        <v>16280000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BBBC-6CA1-42A9-8ADD-950FB48C44C9}">
  <dimension ref="A1:L97"/>
  <sheetViews>
    <sheetView showGridLines="0" zoomScale="102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.21875" bestFit="1" customWidth="1"/>
    <col min="2" max="3" width="12.5546875" customWidth="1"/>
    <col min="4" max="5" width="12.77734375" customWidth="1"/>
    <col min="6" max="6" width="6" bestFit="1" customWidth="1"/>
    <col min="7" max="7" width="9.21875" style="7" bestFit="1" customWidth="1"/>
    <col min="8" max="8" width="17.109375" bestFit="1" customWidth="1"/>
    <col min="9" max="9" width="15.5546875" style="7" bestFit="1" customWidth="1"/>
    <col min="10" max="10" width="8.44140625" bestFit="1" customWidth="1"/>
    <col min="11" max="11" width="6.77734375" customWidth="1"/>
    <col min="12" max="12" width="8.21875" style="7" customWidth="1"/>
    <col min="13" max="13" width="8.77734375" bestFit="1" customWidth="1"/>
    <col min="16" max="16" width="14.6640625" bestFit="1" customWidth="1"/>
  </cols>
  <sheetData>
    <row r="1" spans="1:12" x14ac:dyDescent="0.3">
      <c r="A1" t="s">
        <v>355</v>
      </c>
      <c r="B1" t="s">
        <v>386</v>
      </c>
      <c r="C1" t="s">
        <v>387</v>
      </c>
      <c r="D1" t="s">
        <v>357</v>
      </c>
      <c r="E1" t="s">
        <v>356</v>
      </c>
      <c r="F1" t="s">
        <v>388</v>
      </c>
      <c r="G1" s="7" t="s">
        <v>389</v>
      </c>
      <c r="H1" t="s">
        <v>390</v>
      </c>
      <c r="I1" t="s">
        <v>391</v>
      </c>
      <c r="J1" t="s">
        <v>392</v>
      </c>
      <c r="K1" s="7" t="s">
        <v>393</v>
      </c>
      <c r="L1" t="s">
        <v>394</v>
      </c>
    </row>
    <row r="2" spans="1:12" x14ac:dyDescent="0.3">
      <c r="A2">
        <v>1</v>
      </c>
      <c r="B2" t="s">
        <v>395</v>
      </c>
      <c r="C2" t="s">
        <v>396</v>
      </c>
      <c r="D2" t="s">
        <v>397</v>
      </c>
      <c r="E2" t="s">
        <v>398</v>
      </c>
      <c r="F2">
        <v>74</v>
      </c>
      <c r="G2" s="7">
        <v>161</v>
      </c>
      <c r="H2" s="11">
        <v>31820</v>
      </c>
      <c r="I2" t="s">
        <v>399</v>
      </c>
      <c r="J2" t="s">
        <v>400</v>
      </c>
      <c r="K2" s="12">
        <f ca="1">DATEDIF(Table3[[#This Row],[День Рождения]],TODAY(),"y")</f>
        <v>39</v>
      </c>
      <c r="L2">
        <v>1987</v>
      </c>
    </row>
    <row r="3" spans="1:12" x14ac:dyDescent="0.3">
      <c r="A3">
        <v>2</v>
      </c>
      <c r="B3" t="s">
        <v>395</v>
      </c>
      <c r="C3" t="s">
        <v>396</v>
      </c>
      <c r="D3" t="s">
        <v>401</v>
      </c>
      <c r="E3" t="s">
        <v>402</v>
      </c>
      <c r="F3">
        <v>74</v>
      </c>
      <c r="G3" s="7">
        <v>164</v>
      </c>
      <c r="H3" s="11">
        <v>32775</v>
      </c>
      <c r="I3" t="s">
        <v>403</v>
      </c>
      <c r="J3" t="s">
        <v>400</v>
      </c>
      <c r="K3" s="12">
        <f ca="1">DATEDIF(Table3[[#This Row],[День Рождения]],TODAY(),"y")</f>
        <v>36</v>
      </c>
      <c r="L3">
        <v>1989</v>
      </c>
    </row>
    <row r="4" spans="1:12" x14ac:dyDescent="0.3">
      <c r="A4">
        <v>3</v>
      </c>
      <c r="B4" t="s">
        <v>395</v>
      </c>
      <c r="C4" t="s">
        <v>396</v>
      </c>
      <c r="D4" t="s">
        <v>194</v>
      </c>
      <c r="E4" t="s">
        <v>404</v>
      </c>
      <c r="F4">
        <v>64</v>
      </c>
      <c r="G4" s="7">
        <v>176</v>
      </c>
      <c r="H4" s="11">
        <v>34459</v>
      </c>
      <c r="I4" t="s">
        <v>405</v>
      </c>
      <c r="J4" t="s">
        <v>400</v>
      </c>
      <c r="K4" s="12">
        <f ca="1">DATEDIF(Table3[[#This Row],[День Рождения]],TODAY(),"y")</f>
        <v>31</v>
      </c>
      <c r="L4">
        <v>1994</v>
      </c>
    </row>
    <row r="5" spans="1:12" x14ac:dyDescent="0.3">
      <c r="A5">
        <v>4</v>
      </c>
      <c r="B5" t="s">
        <v>395</v>
      </c>
      <c r="C5" t="s">
        <v>396</v>
      </c>
      <c r="D5" t="s">
        <v>1</v>
      </c>
      <c r="E5" t="s">
        <v>406</v>
      </c>
      <c r="F5">
        <v>68</v>
      </c>
      <c r="G5" s="7">
        <v>180</v>
      </c>
      <c r="H5" s="11">
        <v>32674</v>
      </c>
      <c r="I5" t="s">
        <v>407</v>
      </c>
      <c r="J5" t="s">
        <v>400</v>
      </c>
      <c r="K5" s="12">
        <f ca="1">DATEDIF(Table3[[#This Row],[День Рождения]],TODAY(),"y")</f>
        <v>36</v>
      </c>
      <c r="L5">
        <v>1989</v>
      </c>
    </row>
    <row r="6" spans="1:12" x14ac:dyDescent="0.3">
      <c r="A6">
        <v>5</v>
      </c>
      <c r="B6" t="s">
        <v>395</v>
      </c>
      <c r="C6" t="s">
        <v>396</v>
      </c>
      <c r="D6" t="s">
        <v>408</v>
      </c>
      <c r="E6" t="s">
        <v>409</v>
      </c>
      <c r="F6">
        <v>68</v>
      </c>
      <c r="G6" s="7">
        <v>172</v>
      </c>
      <c r="H6" s="11">
        <v>33670</v>
      </c>
      <c r="I6" t="s">
        <v>410</v>
      </c>
      <c r="J6" t="s">
        <v>400</v>
      </c>
      <c r="K6" s="12">
        <f ca="1">DATEDIF(Table3[[#This Row],[День Рождения]],TODAY(),"y")</f>
        <v>33</v>
      </c>
      <c r="L6">
        <v>1992</v>
      </c>
    </row>
    <row r="7" spans="1:12" x14ac:dyDescent="0.3">
      <c r="A7">
        <v>6</v>
      </c>
      <c r="B7" t="s">
        <v>395</v>
      </c>
      <c r="C7" t="s">
        <v>396</v>
      </c>
      <c r="D7" t="s">
        <v>411</v>
      </c>
      <c r="E7" t="s">
        <v>412</v>
      </c>
      <c r="F7">
        <v>70</v>
      </c>
      <c r="G7" s="7">
        <v>170</v>
      </c>
      <c r="H7" s="11">
        <v>33610</v>
      </c>
      <c r="I7" t="s">
        <v>413</v>
      </c>
      <c r="J7" t="s">
        <v>400</v>
      </c>
      <c r="K7" s="12">
        <f ca="1">DATEDIF(Table3[[#This Row],[День Рождения]],TODAY(),"y")</f>
        <v>34</v>
      </c>
      <c r="L7">
        <v>1992</v>
      </c>
    </row>
    <row r="8" spans="1:12" x14ac:dyDescent="0.3">
      <c r="A8">
        <v>7</v>
      </c>
      <c r="B8" t="s">
        <v>395</v>
      </c>
      <c r="C8" t="s">
        <v>396</v>
      </c>
      <c r="D8" t="s">
        <v>414</v>
      </c>
      <c r="E8" t="s">
        <v>415</v>
      </c>
      <c r="F8">
        <v>70</v>
      </c>
      <c r="G8" s="7">
        <v>167</v>
      </c>
      <c r="H8" s="11">
        <v>33121</v>
      </c>
      <c r="I8" t="s">
        <v>416</v>
      </c>
      <c r="J8" t="s">
        <v>400</v>
      </c>
      <c r="K8" s="12">
        <f ca="1">DATEDIF(Table3[[#This Row],[День Рождения]],TODAY(),"y")</f>
        <v>35</v>
      </c>
      <c r="L8">
        <v>1990</v>
      </c>
    </row>
    <row r="9" spans="1:12" x14ac:dyDescent="0.3">
      <c r="A9">
        <v>8</v>
      </c>
      <c r="B9" t="s">
        <v>395</v>
      </c>
      <c r="C9" t="s">
        <v>396</v>
      </c>
      <c r="D9" t="s">
        <v>417</v>
      </c>
      <c r="E9" t="s">
        <v>418</v>
      </c>
      <c r="F9">
        <v>72</v>
      </c>
      <c r="G9" s="7">
        <v>169</v>
      </c>
      <c r="H9" s="11">
        <v>33362</v>
      </c>
      <c r="I9" t="s">
        <v>419</v>
      </c>
      <c r="J9" t="s">
        <v>400</v>
      </c>
      <c r="K9" s="12">
        <f ca="1">DATEDIF(Table3[[#This Row],[День Рождения]],TODAY(),"y")</f>
        <v>34</v>
      </c>
      <c r="L9">
        <v>1991</v>
      </c>
    </row>
    <row r="10" spans="1:12" x14ac:dyDescent="0.3">
      <c r="A10">
        <v>9</v>
      </c>
      <c r="B10" t="s">
        <v>395</v>
      </c>
      <c r="C10" t="s">
        <v>396</v>
      </c>
      <c r="D10" t="s">
        <v>420</v>
      </c>
      <c r="E10" t="s">
        <v>421</v>
      </c>
      <c r="F10">
        <v>61</v>
      </c>
      <c r="G10" s="7">
        <v>160</v>
      </c>
      <c r="H10" s="11">
        <v>34703</v>
      </c>
      <c r="I10" t="s">
        <v>422</v>
      </c>
      <c r="J10" t="s">
        <v>400</v>
      </c>
      <c r="K10" s="12">
        <f ca="1">DATEDIF(Table3[[#This Row],[День Рождения]],TODAY(),"y")</f>
        <v>31</v>
      </c>
      <c r="L10">
        <v>1995</v>
      </c>
    </row>
    <row r="11" spans="1:12" x14ac:dyDescent="0.3">
      <c r="A11">
        <v>10</v>
      </c>
      <c r="B11" t="s">
        <v>395</v>
      </c>
      <c r="C11" t="s">
        <v>396</v>
      </c>
      <c r="D11" t="s">
        <v>423</v>
      </c>
      <c r="E11" t="s">
        <v>424</v>
      </c>
      <c r="F11">
        <v>72</v>
      </c>
      <c r="G11" s="7">
        <v>175</v>
      </c>
      <c r="H11" s="11">
        <v>32300</v>
      </c>
      <c r="I11" t="s">
        <v>425</v>
      </c>
      <c r="J11" t="s">
        <v>400</v>
      </c>
      <c r="K11" s="12">
        <f ca="1">DATEDIF(Table3[[#This Row],[День Рождения]],TODAY(),"y")</f>
        <v>37</v>
      </c>
      <c r="L11">
        <v>1988</v>
      </c>
    </row>
    <row r="12" spans="1:12" x14ac:dyDescent="0.3">
      <c r="A12">
        <v>11</v>
      </c>
      <c r="B12" t="s">
        <v>395</v>
      </c>
      <c r="C12" t="s">
        <v>396</v>
      </c>
      <c r="D12" t="s">
        <v>312</v>
      </c>
      <c r="E12" t="s">
        <v>426</v>
      </c>
      <c r="F12">
        <v>73</v>
      </c>
      <c r="G12" s="7">
        <v>172</v>
      </c>
      <c r="H12" s="11">
        <v>33163</v>
      </c>
      <c r="I12" t="s">
        <v>427</v>
      </c>
      <c r="J12" t="s">
        <v>400</v>
      </c>
      <c r="K12" s="12">
        <f ca="1">DATEDIF(Table3[[#This Row],[День Рождения]],TODAY(),"y")</f>
        <v>35</v>
      </c>
      <c r="L12">
        <v>1990</v>
      </c>
    </row>
    <row r="13" spans="1:12" x14ac:dyDescent="0.3">
      <c r="A13">
        <v>12</v>
      </c>
      <c r="B13" t="s">
        <v>395</v>
      </c>
      <c r="C13" t="s">
        <v>396</v>
      </c>
      <c r="D13" t="s">
        <v>428</v>
      </c>
      <c r="E13" t="s">
        <v>429</v>
      </c>
      <c r="F13">
        <v>72</v>
      </c>
      <c r="G13" s="7">
        <v>176</v>
      </c>
      <c r="H13" s="11">
        <v>35031</v>
      </c>
      <c r="I13" t="s">
        <v>430</v>
      </c>
      <c r="J13" t="s">
        <v>400</v>
      </c>
      <c r="K13" s="12">
        <f ca="1">DATEDIF(Table3[[#This Row],[День Рождения]],TODAY(),"y")</f>
        <v>30</v>
      </c>
      <c r="L13">
        <v>1995</v>
      </c>
    </row>
    <row r="14" spans="1:12" x14ac:dyDescent="0.3">
      <c r="A14">
        <v>13</v>
      </c>
      <c r="B14" t="s">
        <v>395</v>
      </c>
      <c r="C14" t="s">
        <v>396</v>
      </c>
      <c r="D14" t="s">
        <v>431</v>
      </c>
      <c r="E14" t="s">
        <v>432</v>
      </c>
      <c r="F14">
        <v>69</v>
      </c>
      <c r="G14" s="7">
        <v>172</v>
      </c>
      <c r="H14" s="11">
        <v>33325</v>
      </c>
      <c r="I14" t="s">
        <v>433</v>
      </c>
      <c r="J14" t="s">
        <v>400</v>
      </c>
      <c r="K14" s="12">
        <f ca="1">DATEDIF(Table3[[#This Row],[День Рождения]],TODAY(),"y")</f>
        <v>34</v>
      </c>
      <c r="L14">
        <v>1991</v>
      </c>
    </row>
    <row r="15" spans="1:12" x14ac:dyDescent="0.3">
      <c r="A15">
        <v>14</v>
      </c>
      <c r="B15" t="s">
        <v>395</v>
      </c>
      <c r="C15" t="s">
        <v>396</v>
      </c>
      <c r="D15" t="s">
        <v>434</v>
      </c>
      <c r="E15" t="s">
        <v>435</v>
      </c>
      <c r="F15">
        <v>60</v>
      </c>
      <c r="G15" s="7">
        <v>170</v>
      </c>
      <c r="H15" s="11">
        <v>34165</v>
      </c>
      <c r="I15" t="s">
        <v>436</v>
      </c>
      <c r="J15" t="s">
        <v>400</v>
      </c>
      <c r="K15" s="12">
        <f ca="1">DATEDIF(Table3[[#This Row],[День Рождения]],TODAY(),"y")</f>
        <v>32</v>
      </c>
      <c r="L15">
        <v>1993</v>
      </c>
    </row>
    <row r="16" spans="1:12" x14ac:dyDescent="0.3">
      <c r="A16">
        <v>15</v>
      </c>
      <c r="B16" t="s">
        <v>395</v>
      </c>
      <c r="C16" t="s">
        <v>396</v>
      </c>
      <c r="D16" t="s">
        <v>437</v>
      </c>
      <c r="E16" t="s">
        <v>438</v>
      </c>
      <c r="F16">
        <v>68</v>
      </c>
      <c r="G16" s="7">
        <v>177</v>
      </c>
      <c r="H16" s="11">
        <v>32282</v>
      </c>
      <c r="I16" t="s">
        <v>439</v>
      </c>
      <c r="J16" t="s">
        <v>440</v>
      </c>
      <c r="K16" s="12">
        <f ca="1">DATEDIF(Table3[[#This Row],[День Рождения]],TODAY(),"y")</f>
        <v>37</v>
      </c>
      <c r="L16">
        <v>1988</v>
      </c>
    </row>
    <row r="17" spans="1:12" x14ac:dyDescent="0.3">
      <c r="A17">
        <v>16</v>
      </c>
      <c r="B17" t="s">
        <v>395</v>
      </c>
      <c r="C17" t="s">
        <v>396</v>
      </c>
      <c r="D17" t="s">
        <v>441</v>
      </c>
      <c r="E17" t="s">
        <v>442</v>
      </c>
      <c r="F17">
        <v>67</v>
      </c>
      <c r="G17" s="7">
        <v>175</v>
      </c>
      <c r="H17" s="11">
        <v>33888</v>
      </c>
      <c r="I17" t="s">
        <v>443</v>
      </c>
      <c r="J17" t="s">
        <v>440</v>
      </c>
      <c r="K17" s="12">
        <f ca="1">DATEDIF(Table3[[#This Row],[День Рождения]],TODAY(),"y")</f>
        <v>33</v>
      </c>
      <c r="L17">
        <v>1992</v>
      </c>
    </row>
    <row r="18" spans="1:12" x14ac:dyDescent="0.3">
      <c r="A18">
        <v>17</v>
      </c>
      <c r="B18" t="s">
        <v>395</v>
      </c>
      <c r="C18" t="s">
        <v>396</v>
      </c>
      <c r="D18" t="s">
        <v>444</v>
      </c>
      <c r="E18" t="s">
        <v>445</v>
      </c>
      <c r="F18">
        <v>66</v>
      </c>
      <c r="G18" s="7">
        <v>168</v>
      </c>
      <c r="H18" s="11">
        <v>32975</v>
      </c>
      <c r="I18" t="s">
        <v>446</v>
      </c>
      <c r="J18" t="s">
        <v>440</v>
      </c>
      <c r="K18" s="12">
        <f ca="1">DATEDIF(Table3[[#This Row],[День Рождения]],TODAY(),"y")</f>
        <v>35</v>
      </c>
      <c r="L18">
        <v>1990</v>
      </c>
    </row>
    <row r="19" spans="1:12" x14ac:dyDescent="0.3">
      <c r="A19">
        <v>18</v>
      </c>
      <c r="B19" t="s">
        <v>395</v>
      </c>
      <c r="C19" t="s">
        <v>396</v>
      </c>
      <c r="D19" t="s">
        <v>194</v>
      </c>
      <c r="E19" t="s">
        <v>447</v>
      </c>
      <c r="F19">
        <v>67</v>
      </c>
      <c r="G19" s="7">
        <v>165</v>
      </c>
      <c r="H19" s="11">
        <v>33268</v>
      </c>
      <c r="I19" t="s">
        <v>422</v>
      </c>
      <c r="J19" t="s">
        <v>440</v>
      </c>
      <c r="K19" s="12">
        <f ca="1">DATEDIF(Table3[[#This Row],[День Рождения]],TODAY(),"y")</f>
        <v>35</v>
      </c>
      <c r="L19">
        <v>1991</v>
      </c>
    </row>
    <row r="20" spans="1:12" x14ac:dyDescent="0.3">
      <c r="A20">
        <v>19</v>
      </c>
      <c r="B20" t="s">
        <v>395</v>
      </c>
      <c r="C20" t="s">
        <v>396</v>
      </c>
      <c r="D20" t="s">
        <v>448</v>
      </c>
      <c r="E20" t="s">
        <v>449</v>
      </c>
      <c r="F20">
        <v>73</v>
      </c>
      <c r="G20" s="7">
        <v>168</v>
      </c>
      <c r="H20" s="11">
        <v>31051</v>
      </c>
      <c r="I20" t="s">
        <v>450</v>
      </c>
      <c r="J20" t="s">
        <v>440</v>
      </c>
      <c r="K20" s="12">
        <f ca="1">DATEDIF(Table3[[#This Row],[День Рождения]],TODAY(),"y")</f>
        <v>41</v>
      </c>
      <c r="L20">
        <v>1985</v>
      </c>
    </row>
    <row r="21" spans="1:12" x14ac:dyDescent="0.3">
      <c r="A21">
        <v>20</v>
      </c>
      <c r="B21" t="s">
        <v>395</v>
      </c>
      <c r="C21" t="s">
        <v>396</v>
      </c>
      <c r="D21" t="s">
        <v>451</v>
      </c>
      <c r="E21" t="s">
        <v>452</v>
      </c>
      <c r="F21">
        <v>68</v>
      </c>
      <c r="G21" s="7">
        <v>170</v>
      </c>
      <c r="H21" s="11">
        <v>34613</v>
      </c>
      <c r="I21" t="s">
        <v>453</v>
      </c>
      <c r="J21" t="s">
        <v>440</v>
      </c>
      <c r="K21" s="12">
        <f ca="1">DATEDIF(Table3[[#This Row],[День Рождения]],TODAY(),"y")</f>
        <v>31</v>
      </c>
      <c r="L21">
        <v>1994</v>
      </c>
    </row>
    <row r="22" spans="1:12" x14ac:dyDescent="0.3">
      <c r="A22">
        <v>21</v>
      </c>
      <c r="B22" t="s">
        <v>395</v>
      </c>
      <c r="C22" t="s">
        <v>396</v>
      </c>
      <c r="D22" t="s">
        <v>454</v>
      </c>
      <c r="E22" t="s">
        <v>455</v>
      </c>
      <c r="F22">
        <v>64</v>
      </c>
      <c r="G22" s="7">
        <v>166</v>
      </c>
      <c r="H22" s="11">
        <v>31630</v>
      </c>
      <c r="I22" t="s">
        <v>456</v>
      </c>
      <c r="J22" t="s">
        <v>457</v>
      </c>
      <c r="K22" s="12">
        <f ca="1">DATEDIF(Table3[[#This Row],[День Рождения]],TODAY(),"y")</f>
        <v>39</v>
      </c>
      <c r="L22">
        <v>1986</v>
      </c>
    </row>
    <row r="23" spans="1:12" x14ac:dyDescent="0.3">
      <c r="A23">
        <v>22</v>
      </c>
      <c r="B23" t="s">
        <v>395</v>
      </c>
      <c r="C23" t="s">
        <v>396</v>
      </c>
      <c r="D23" t="s">
        <v>458</v>
      </c>
      <c r="E23" t="s">
        <v>459</v>
      </c>
      <c r="F23">
        <v>63</v>
      </c>
      <c r="G23" s="7">
        <v>178</v>
      </c>
      <c r="H23" s="11">
        <v>32633</v>
      </c>
      <c r="I23" t="s">
        <v>460</v>
      </c>
      <c r="J23" t="s">
        <v>457</v>
      </c>
      <c r="K23" s="12">
        <f ca="1">DATEDIF(Table3[[#This Row],[День Рождения]],TODAY(),"y")</f>
        <v>36</v>
      </c>
      <c r="L23">
        <v>1989</v>
      </c>
    </row>
    <row r="24" spans="1:12" x14ac:dyDescent="0.3">
      <c r="A24">
        <v>23</v>
      </c>
      <c r="B24" t="s">
        <v>395</v>
      </c>
      <c r="C24" t="s">
        <v>396</v>
      </c>
      <c r="D24" t="s">
        <v>461</v>
      </c>
      <c r="E24" t="s">
        <v>462</v>
      </c>
      <c r="F24">
        <v>66</v>
      </c>
      <c r="G24" s="7">
        <v>170</v>
      </c>
      <c r="H24" s="11">
        <v>34434</v>
      </c>
      <c r="I24" t="s">
        <v>463</v>
      </c>
      <c r="J24" t="s">
        <v>457</v>
      </c>
      <c r="K24" s="12">
        <f ca="1">DATEDIF(Table3[[#This Row],[День Рождения]],TODAY(),"y")</f>
        <v>31</v>
      </c>
      <c r="L24">
        <v>1994</v>
      </c>
    </row>
    <row r="25" spans="1:12" x14ac:dyDescent="0.3">
      <c r="A25">
        <v>24</v>
      </c>
      <c r="B25" t="s">
        <v>464</v>
      </c>
      <c r="C25" t="s">
        <v>396</v>
      </c>
      <c r="D25" t="s">
        <v>465</v>
      </c>
      <c r="E25" t="s">
        <v>466</v>
      </c>
      <c r="F25">
        <v>72</v>
      </c>
      <c r="G25" s="7">
        <v>172</v>
      </c>
      <c r="H25" s="11">
        <v>31778</v>
      </c>
      <c r="I25" t="s">
        <v>467</v>
      </c>
      <c r="J25" t="s">
        <v>400</v>
      </c>
      <c r="K25" s="12">
        <f ca="1">DATEDIF(Table3[[#This Row],[День Рождения]],TODAY(),"y")</f>
        <v>39</v>
      </c>
      <c r="L25">
        <v>1987</v>
      </c>
    </row>
    <row r="26" spans="1:12" x14ac:dyDescent="0.3">
      <c r="A26">
        <v>25</v>
      </c>
      <c r="B26" t="s">
        <v>464</v>
      </c>
      <c r="C26" t="s">
        <v>396</v>
      </c>
      <c r="D26" t="s">
        <v>468</v>
      </c>
      <c r="E26" t="s">
        <v>469</v>
      </c>
      <c r="F26">
        <v>67</v>
      </c>
      <c r="G26" s="7">
        <v>175</v>
      </c>
      <c r="H26" s="11">
        <v>31467</v>
      </c>
      <c r="I26" t="s">
        <v>470</v>
      </c>
      <c r="J26" t="s">
        <v>400</v>
      </c>
      <c r="K26" s="12">
        <f ca="1">DATEDIF(Table3[[#This Row],[День Рождения]],TODAY(),"y")</f>
        <v>40</v>
      </c>
      <c r="L26">
        <v>1986</v>
      </c>
    </row>
    <row r="27" spans="1:12" x14ac:dyDescent="0.3">
      <c r="A27">
        <v>26</v>
      </c>
      <c r="B27" t="s">
        <v>464</v>
      </c>
      <c r="C27" t="s">
        <v>396</v>
      </c>
      <c r="D27" t="s">
        <v>471</v>
      </c>
      <c r="E27" t="s">
        <v>472</v>
      </c>
      <c r="F27">
        <v>70</v>
      </c>
      <c r="G27" s="7">
        <v>173</v>
      </c>
      <c r="H27" s="11">
        <v>30440</v>
      </c>
      <c r="I27" t="s">
        <v>473</v>
      </c>
      <c r="J27" t="s">
        <v>400</v>
      </c>
      <c r="K27" s="12">
        <f ca="1">DATEDIF(Table3[[#This Row],[День Рождения]],TODAY(),"y")</f>
        <v>42</v>
      </c>
      <c r="L27">
        <v>1983</v>
      </c>
    </row>
    <row r="28" spans="1:12" x14ac:dyDescent="0.3">
      <c r="A28">
        <v>27</v>
      </c>
      <c r="B28" t="s">
        <v>464</v>
      </c>
      <c r="C28" t="s">
        <v>396</v>
      </c>
      <c r="D28" t="s">
        <v>474</v>
      </c>
      <c r="E28" t="s">
        <v>290</v>
      </c>
      <c r="F28">
        <v>65</v>
      </c>
      <c r="G28" s="7">
        <v>164</v>
      </c>
      <c r="H28" s="11">
        <v>29536</v>
      </c>
      <c r="I28" t="s">
        <v>470</v>
      </c>
      <c r="J28" t="s">
        <v>400</v>
      </c>
      <c r="K28" s="12">
        <f ca="1">DATEDIF(Table3[[#This Row],[День Рождения]],TODAY(),"y")</f>
        <v>45</v>
      </c>
      <c r="L28">
        <v>1980</v>
      </c>
    </row>
    <row r="29" spans="1:12" x14ac:dyDescent="0.3">
      <c r="A29">
        <v>28</v>
      </c>
      <c r="B29" t="s">
        <v>464</v>
      </c>
      <c r="C29" t="s">
        <v>396</v>
      </c>
      <c r="D29" t="s">
        <v>475</v>
      </c>
      <c r="E29" t="s">
        <v>476</v>
      </c>
      <c r="F29">
        <v>60</v>
      </c>
      <c r="G29" s="7">
        <v>171</v>
      </c>
      <c r="H29" s="11">
        <v>31636</v>
      </c>
      <c r="I29" t="s">
        <v>477</v>
      </c>
      <c r="J29" t="s">
        <v>400</v>
      </c>
      <c r="K29" s="12">
        <f ca="1">DATEDIF(Table3[[#This Row],[День Рождения]],TODAY(),"y")</f>
        <v>39</v>
      </c>
      <c r="L29">
        <v>1986</v>
      </c>
    </row>
    <row r="30" spans="1:12" x14ac:dyDescent="0.3">
      <c r="A30">
        <v>29</v>
      </c>
      <c r="B30" t="s">
        <v>464</v>
      </c>
      <c r="C30" t="s">
        <v>396</v>
      </c>
      <c r="D30" t="s">
        <v>478</v>
      </c>
      <c r="E30" t="s">
        <v>479</v>
      </c>
      <c r="F30">
        <v>61</v>
      </c>
      <c r="G30" s="7">
        <v>167</v>
      </c>
      <c r="H30" s="11">
        <v>32940</v>
      </c>
      <c r="I30" t="s">
        <v>480</v>
      </c>
      <c r="J30" t="s">
        <v>400</v>
      </c>
      <c r="K30" s="12">
        <f ca="1">DATEDIF(Table3[[#This Row],[День Рождения]],TODAY(),"y")</f>
        <v>35</v>
      </c>
      <c r="L30">
        <v>1990</v>
      </c>
    </row>
    <row r="31" spans="1:12" x14ac:dyDescent="0.3">
      <c r="A31">
        <v>30</v>
      </c>
      <c r="B31" t="s">
        <v>464</v>
      </c>
      <c r="C31" t="s">
        <v>396</v>
      </c>
      <c r="D31" t="s">
        <v>481</v>
      </c>
      <c r="E31" t="s">
        <v>482</v>
      </c>
      <c r="F31">
        <v>73</v>
      </c>
      <c r="G31" s="7">
        <v>163</v>
      </c>
      <c r="H31" s="11">
        <v>33624</v>
      </c>
      <c r="I31" t="s">
        <v>483</v>
      </c>
      <c r="J31" t="s">
        <v>400</v>
      </c>
      <c r="K31" s="12">
        <f ca="1">DATEDIF(Table3[[#This Row],[День Рождения]],TODAY(),"y")</f>
        <v>34</v>
      </c>
      <c r="L31">
        <v>1992</v>
      </c>
    </row>
    <row r="32" spans="1:12" x14ac:dyDescent="0.3">
      <c r="A32">
        <v>31</v>
      </c>
      <c r="B32" t="s">
        <v>464</v>
      </c>
      <c r="C32" t="s">
        <v>396</v>
      </c>
      <c r="D32" t="s">
        <v>484</v>
      </c>
      <c r="E32" t="s">
        <v>485</v>
      </c>
      <c r="F32">
        <v>74</v>
      </c>
      <c r="G32" s="7">
        <v>163</v>
      </c>
      <c r="H32" s="11">
        <v>29930</v>
      </c>
      <c r="I32" t="s">
        <v>486</v>
      </c>
      <c r="J32" t="s">
        <v>400</v>
      </c>
      <c r="K32" s="12">
        <f ca="1">DATEDIF(Table3[[#This Row],[День Рождения]],TODAY(),"y")</f>
        <v>44</v>
      </c>
      <c r="L32">
        <v>1981</v>
      </c>
    </row>
    <row r="33" spans="1:12" x14ac:dyDescent="0.3">
      <c r="A33">
        <v>32</v>
      </c>
      <c r="B33" t="s">
        <v>464</v>
      </c>
      <c r="C33" t="s">
        <v>396</v>
      </c>
      <c r="D33" t="s">
        <v>487</v>
      </c>
      <c r="E33" t="s">
        <v>488</v>
      </c>
      <c r="F33">
        <v>69</v>
      </c>
      <c r="G33" s="7">
        <v>164</v>
      </c>
      <c r="H33" s="11">
        <v>30318</v>
      </c>
      <c r="I33" t="s">
        <v>489</v>
      </c>
      <c r="J33" t="s">
        <v>400</v>
      </c>
      <c r="K33" s="12">
        <f ca="1">DATEDIF(Table3[[#This Row],[День Рождения]],TODAY(),"y")</f>
        <v>43</v>
      </c>
      <c r="L33">
        <v>1983</v>
      </c>
    </row>
    <row r="34" spans="1:12" x14ac:dyDescent="0.3">
      <c r="A34">
        <v>33</v>
      </c>
      <c r="B34" t="s">
        <v>464</v>
      </c>
      <c r="C34" t="s">
        <v>396</v>
      </c>
      <c r="D34" t="s">
        <v>490</v>
      </c>
      <c r="E34" t="s">
        <v>491</v>
      </c>
      <c r="F34">
        <v>68</v>
      </c>
      <c r="G34" s="7">
        <v>166</v>
      </c>
      <c r="H34" s="11">
        <v>31307</v>
      </c>
      <c r="I34" t="s">
        <v>492</v>
      </c>
      <c r="J34" t="s">
        <v>400</v>
      </c>
      <c r="K34" s="12">
        <f ca="1">DATEDIF(Table3[[#This Row],[День Рождения]],TODAY(),"y")</f>
        <v>40</v>
      </c>
      <c r="L34">
        <v>1985</v>
      </c>
    </row>
    <row r="35" spans="1:12" x14ac:dyDescent="0.3">
      <c r="A35">
        <v>34</v>
      </c>
      <c r="B35" t="s">
        <v>464</v>
      </c>
      <c r="C35" t="s">
        <v>396</v>
      </c>
      <c r="D35" t="s">
        <v>493</v>
      </c>
      <c r="E35" t="s">
        <v>494</v>
      </c>
      <c r="F35">
        <v>61</v>
      </c>
      <c r="G35" s="7">
        <v>160</v>
      </c>
      <c r="H35" s="11">
        <v>33045</v>
      </c>
      <c r="I35" t="s">
        <v>495</v>
      </c>
      <c r="J35" t="s">
        <v>400</v>
      </c>
      <c r="K35" s="12">
        <f ca="1">DATEDIF(Table3[[#This Row],[День Рождения]],TODAY(),"y")</f>
        <v>35</v>
      </c>
      <c r="L35">
        <v>1990</v>
      </c>
    </row>
    <row r="36" spans="1:12" x14ac:dyDescent="0.3">
      <c r="A36">
        <v>35</v>
      </c>
      <c r="B36" t="s">
        <v>464</v>
      </c>
      <c r="C36" t="s">
        <v>396</v>
      </c>
      <c r="D36" t="s">
        <v>496</v>
      </c>
      <c r="E36" t="s">
        <v>497</v>
      </c>
      <c r="F36">
        <v>71</v>
      </c>
      <c r="G36" s="7">
        <v>165</v>
      </c>
      <c r="H36" s="11">
        <v>31135</v>
      </c>
      <c r="I36" t="s">
        <v>498</v>
      </c>
      <c r="J36" t="s">
        <v>400</v>
      </c>
      <c r="K36" s="12">
        <f ca="1">DATEDIF(Table3[[#This Row],[День Рождения]],TODAY(),"y")</f>
        <v>40</v>
      </c>
      <c r="L36">
        <v>1985</v>
      </c>
    </row>
    <row r="37" spans="1:12" x14ac:dyDescent="0.3">
      <c r="A37">
        <v>36</v>
      </c>
      <c r="B37" t="s">
        <v>464</v>
      </c>
      <c r="C37" t="s">
        <v>396</v>
      </c>
      <c r="D37" t="s">
        <v>499</v>
      </c>
      <c r="E37" t="s">
        <v>500</v>
      </c>
      <c r="F37">
        <v>65</v>
      </c>
      <c r="G37" s="7">
        <v>168</v>
      </c>
      <c r="H37" s="11">
        <v>33436</v>
      </c>
      <c r="I37" t="s">
        <v>501</v>
      </c>
      <c r="J37" t="s">
        <v>400</v>
      </c>
      <c r="K37" s="12">
        <f ca="1">DATEDIF(Table3[[#This Row],[День Рождения]],TODAY(),"y")</f>
        <v>34</v>
      </c>
      <c r="L37">
        <v>1991</v>
      </c>
    </row>
    <row r="38" spans="1:12" x14ac:dyDescent="0.3">
      <c r="A38">
        <v>37</v>
      </c>
      <c r="B38" t="s">
        <v>464</v>
      </c>
      <c r="C38" t="s">
        <v>396</v>
      </c>
      <c r="D38" t="s">
        <v>502</v>
      </c>
      <c r="E38" t="s">
        <v>5</v>
      </c>
      <c r="F38">
        <v>73</v>
      </c>
      <c r="G38" s="7">
        <v>171</v>
      </c>
      <c r="H38" s="11">
        <v>33750</v>
      </c>
      <c r="I38" t="s">
        <v>470</v>
      </c>
      <c r="J38" t="s">
        <v>400</v>
      </c>
      <c r="K38" s="12">
        <f ca="1">DATEDIF(Table3[[#This Row],[День Рождения]],TODAY(),"y")</f>
        <v>33</v>
      </c>
      <c r="L38">
        <v>1992</v>
      </c>
    </row>
    <row r="39" spans="1:12" x14ac:dyDescent="0.3">
      <c r="A39">
        <v>38</v>
      </c>
      <c r="B39" t="s">
        <v>464</v>
      </c>
      <c r="C39" t="s">
        <v>396</v>
      </c>
      <c r="D39" t="s">
        <v>503</v>
      </c>
      <c r="E39" t="s">
        <v>504</v>
      </c>
      <c r="F39">
        <v>64</v>
      </c>
      <c r="G39" s="7">
        <v>162</v>
      </c>
      <c r="H39" s="11">
        <v>32102</v>
      </c>
      <c r="I39" t="s">
        <v>505</v>
      </c>
      <c r="J39" t="s">
        <v>440</v>
      </c>
      <c r="K39" s="12">
        <f ca="1">DATEDIF(Table3[[#This Row],[День Рождения]],TODAY(),"y")</f>
        <v>38</v>
      </c>
      <c r="L39">
        <v>1987</v>
      </c>
    </row>
    <row r="40" spans="1:12" x14ac:dyDescent="0.3">
      <c r="A40">
        <v>39</v>
      </c>
      <c r="B40" t="s">
        <v>464</v>
      </c>
      <c r="C40" t="s">
        <v>396</v>
      </c>
      <c r="D40" t="s">
        <v>474</v>
      </c>
      <c r="E40" t="s">
        <v>65</v>
      </c>
      <c r="F40">
        <v>67</v>
      </c>
      <c r="G40" s="7">
        <v>174</v>
      </c>
      <c r="H40" s="11">
        <v>29497</v>
      </c>
      <c r="I40" t="s">
        <v>506</v>
      </c>
      <c r="J40" t="s">
        <v>440</v>
      </c>
      <c r="K40" s="12">
        <f ca="1">DATEDIF(Table3[[#This Row],[День Рождения]],TODAY(),"y")</f>
        <v>45</v>
      </c>
      <c r="L40">
        <v>1980</v>
      </c>
    </row>
    <row r="41" spans="1:12" x14ac:dyDescent="0.3">
      <c r="A41">
        <v>40</v>
      </c>
      <c r="B41" t="s">
        <v>464</v>
      </c>
      <c r="C41" t="s">
        <v>396</v>
      </c>
      <c r="D41" t="s">
        <v>507</v>
      </c>
      <c r="E41" t="s">
        <v>508</v>
      </c>
      <c r="F41">
        <v>69</v>
      </c>
      <c r="G41" s="7">
        <v>176</v>
      </c>
      <c r="H41" s="11">
        <v>31766</v>
      </c>
      <c r="I41" t="s">
        <v>509</v>
      </c>
      <c r="J41" t="s">
        <v>440</v>
      </c>
      <c r="K41" s="12">
        <f ca="1">DATEDIF(Table3[[#This Row],[День Рождения]],TODAY(),"y")</f>
        <v>39</v>
      </c>
      <c r="L41">
        <v>1986</v>
      </c>
    </row>
    <row r="42" spans="1:12" x14ac:dyDescent="0.3">
      <c r="A42">
        <v>41</v>
      </c>
      <c r="B42" t="s">
        <v>464</v>
      </c>
      <c r="C42" t="s">
        <v>396</v>
      </c>
      <c r="D42" t="s">
        <v>510</v>
      </c>
      <c r="E42" t="s">
        <v>511</v>
      </c>
      <c r="F42">
        <v>62</v>
      </c>
      <c r="G42" s="7">
        <v>162</v>
      </c>
      <c r="H42" s="11">
        <v>31847</v>
      </c>
      <c r="I42" t="s">
        <v>512</v>
      </c>
      <c r="J42" t="s">
        <v>440</v>
      </c>
      <c r="K42" s="12">
        <f ca="1">DATEDIF(Table3[[#This Row],[День Рождения]],TODAY(),"y")</f>
        <v>38</v>
      </c>
      <c r="L42">
        <v>1987</v>
      </c>
    </row>
    <row r="43" spans="1:12" x14ac:dyDescent="0.3">
      <c r="A43">
        <v>42</v>
      </c>
      <c r="B43" t="s">
        <v>464</v>
      </c>
      <c r="C43" t="s">
        <v>396</v>
      </c>
      <c r="D43" t="s">
        <v>169</v>
      </c>
      <c r="E43" t="s">
        <v>513</v>
      </c>
      <c r="F43">
        <v>61</v>
      </c>
      <c r="G43" s="7">
        <v>180</v>
      </c>
      <c r="H43" s="11">
        <v>33268</v>
      </c>
      <c r="I43" t="s">
        <v>467</v>
      </c>
      <c r="J43" t="s">
        <v>440</v>
      </c>
      <c r="K43" s="12">
        <f ca="1">DATEDIF(Table3[[#This Row],[День Рождения]],TODAY(),"y")</f>
        <v>35</v>
      </c>
      <c r="L43">
        <v>1991</v>
      </c>
    </row>
    <row r="44" spans="1:12" x14ac:dyDescent="0.3">
      <c r="A44">
        <v>43</v>
      </c>
      <c r="B44" t="s">
        <v>464</v>
      </c>
      <c r="C44" t="s">
        <v>396</v>
      </c>
      <c r="D44" t="s">
        <v>514</v>
      </c>
      <c r="E44" t="s">
        <v>515</v>
      </c>
      <c r="F44">
        <v>67</v>
      </c>
      <c r="G44" s="7">
        <v>177</v>
      </c>
      <c r="H44" s="11">
        <v>32842</v>
      </c>
      <c r="I44" t="s">
        <v>419</v>
      </c>
      <c r="J44" t="s">
        <v>440</v>
      </c>
      <c r="K44" s="12">
        <f ca="1">DATEDIF(Table3[[#This Row],[День Рождения]],TODAY(),"y")</f>
        <v>36</v>
      </c>
      <c r="L44">
        <v>1989</v>
      </c>
    </row>
    <row r="45" spans="1:12" x14ac:dyDescent="0.3">
      <c r="A45">
        <v>44</v>
      </c>
      <c r="B45" t="s">
        <v>464</v>
      </c>
      <c r="C45" t="s">
        <v>396</v>
      </c>
      <c r="D45" t="s">
        <v>516</v>
      </c>
      <c r="E45" t="s">
        <v>285</v>
      </c>
      <c r="F45">
        <v>68</v>
      </c>
      <c r="G45" s="7">
        <v>171</v>
      </c>
      <c r="H45" s="11">
        <v>31583</v>
      </c>
      <c r="I45" t="s">
        <v>480</v>
      </c>
      <c r="J45" t="s">
        <v>440</v>
      </c>
      <c r="K45" s="12">
        <f ca="1">DATEDIF(Table3[[#This Row],[День Рождения]],TODAY(),"y")</f>
        <v>39</v>
      </c>
      <c r="L45">
        <v>1986</v>
      </c>
    </row>
    <row r="46" spans="1:12" x14ac:dyDescent="0.3">
      <c r="A46">
        <v>45</v>
      </c>
      <c r="B46" t="s">
        <v>464</v>
      </c>
      <c r="C46" t="s">
        <v>396</v>
      </c>
      <c r="D46" t="s">
        <v>496</v>
      </c>
      <c r="E46" t="s">
        <v>517</v>
      </c>
      <c r="F46">
        <v>62</v>
      </c>
      <c r="G46" s="7">
        <v>167</v>
      </c>
      <c r="H46" s="11">
        <v>31921</v>
      </c>
      <c r="I46" t="s">
        <v>518</v>
      </c>
      <c r="J46" t="s">
        <v>440</v>
      </c>
      <c r="K46" s="12">
        <f ca="1">DATEDIF(Table3[[#This Row],[День Рождения]],TODAY(),"y")</f>
        <v>38</v>
      </c>
      <c r="L46">
        <v>1987</v>
      </c>
    </row>
    <row r="47" spans="1:12" x14ac:dyDescent="0.3">
      <c r="A47">
        <v>46</v>
      </c>
      <c r="B47" t="s">
        <v>464</v>
      </c>
      <c r="C47" t="s">
        <v>396</v>
      </c>
      <c r="D47" t="s">
        <v>519</v>
      </c>
      <c r="E47" t="s">
        <v>520</v>
      </c>
      <c r="F47">
        <v>63</v>
      </c>
      <c r="G47" s="7">
        <v>166</v>
      </c>
      <c r="H47" s="11">
        <v>31666</v>
      </c>
      <c r="I47" t="s">
        <v>521</v>
      </c>
      <c r="J47" t="s">
        <v>457</v>
      </c>
      <c r="K47" s="12">
        <f ca="1">DATEDIF(Table3[[#This Row],[День Рождения]],TODAY(),"y")</f>
        <v>39</v>
      </c>
      <c r="L47">
        <v>1986</v>
      </c>
    </row>
    <row r="48" spans="1:12" x14ac:dyDescent="0.3">
      <c r="A48">
        <v>47</v>
      </c>
      <c r="B48" t="s">
        <v>464</v>
      </c>
      <c r="C48" t="s">
        <v>396</v>
      </c>
      <c r="D48" t="s">
        <v>522</v>
      </c>
      <c r="E48" t="s">
        <v>432</v>
      </c>
      <c r="F48">
        <v>65</v>
      </c>
      <c r="G48" s="7">
        <v>170</v>
      </c>
      <c r="H48" s="11">
        <v>32975</v>
      </c>
      <c r="I48" t="s">
        <v>518</v>
      </c>
      <c r="J48" t="s">
        <v>457</v>
      </c>
      <c r="K48" s="12">
        <f ca="1">DATEDIF(Table3[[#This Row],[День Рождения]],TODAY(),"y")</f>
        <v>35</v>
      </c>
      <c r="L48">
        <v>1990</v>
      </c>
    </row>
    <row r="49" spans="1:12" x14ac:dyDescent="0.3">
      <c r="A49">
        <v>48</v>
      </c>
      <c r="B49" t="s">
        <v>464</v>
      </c>
      <c r="C49" t="s">
        <v>396</v>
      </c>
      <c r="D49" t="s">
        <v>523</v>
      </c>
      <c r="E49" t="s">
        <v>524</v>
      </c>
      <c r="F49">
        <v>66</v>
      </c>
      <c r="G49" s="7">
        <v>166</v>
      </c>
      <c r="H49" s="11">
        <v>31654</v>
      </c>
      <c r="I49" t="s">
        <v>525</v>
      </c>
      <c r="J49" t="s">
        <v>457</v>
      </c>
      <c r="K49" s="12">
        <f ca="1">DATEDIF(Table3[[#This Row],[День Рождения]],TODAY(),"y")</f>
        <v>39</v>
      </c>
      <c r="L49">
        <v>1986</v>
      </c>
    </row>
    <row r="50" spans="1:12" x14ac:dyDescent="0.3">
      <c r="A50">
        <v>49</v>
      </c>
      <c r="B50" t="s">
        <v>395</v>
      </c>
      <c r="C50" t="s">
        <v>526</v>
      </c>
      <c r="D50" t="s">
        <v>527</v>
      </c>
      <c r="E50" t="s">
        <v>528</v>
      </c>
      <c r="F50">
        <v>60</v>
      </c>
      <c r="G50" s="7">
        <v>178</v>
      </c>
      <c r="H50" s="11">
        <v>36167</v>
      </c>
      <c r="I50" t="s">
        <v>529</v>
      </c>
      <c r="J50" t="s">
        <v>440</v>
      </c>
      <c r="K50" s="12">
        <f ca="1">DATEDIF(Table3[[#This Row],[День Рождения]],TODAY(),"y")</f>
        <v>27</v>
      </c>
      <c r="L50">
        <v>1999</v>
      </c>
    </row>
    <row r="51" spans="1:12" x14ac:dyDescent="0.3">
      <c r="A51">
        <v>50</v>
      </c>
      <c r="B51" t="s">
        <v>395</v>
      </c>
      <c r="C51" t="s">
        <v>526</v>
      </c>
      <c r="D51" t="s">
        <v>530</v>
      </c>
      <c r="E51" t="s">
        <v>531</v>
      </c>
      <c r="F51">
        <v>72</v>
      </c>
      <c r="G51" s="7">
        <v>162</v>
      </c>
      <c r="H51" s="11">
        <v>31889</v>
      </c>
      <c r="I51" t="s">
        <v>532</v>
      </c>
      <c r="J51" t="s">
        <v>440</v>
      </c>
      <c r="K51" s="12">
        <f ca="1">DATEDIF(Table3[[#This Row],[День Рождения]],TODAY(),"y")</f>
        <v>38</v>
      </c>
      <c r="L51">
        <v>1987</v>
      </c>
    </row>
    <row r="52" spans="1:12" x14ac:dyDescent="0.3">
      <c r="A52">
        <v>51</v>
      </c>
      <c r="B52" t="s">
        <v>395</v>
      </c>
      <c r="C52" t="s">
        <v>526</v>
      </c>
      <c r="D52" t="s">
        <v>310</v>
      </c>
      <c r="E52" t="s">
        <v>533</v>
      </c>
      <c r="F52">
        <v>61</v>
      </c>
      <c r="G52" s="7">
        <v>169</v>
      </c>
      <c r="H52" s="11">
        <v>34300</v>
      </c>
      <c r="I52" t="s">
        <v>534</v>
      </c>
      <c r="J52" t="s">
        <v>400</v>
      </c>
      <c r="K52" s="12">
        <f ca="1">DATEDIF(Table3[[#This Row],[День Рождения]],TODAY(),"y")</f>
        <v>32</v>
      </c>
      <c r="L52">
        <v>1993</v>
      </c>
    </row>
    <row r="53" spans="1:12" x14ac:dyDescent="0.3">
      <c r="A53">
        <v>52</v>
      </c>
      <c r="B53" t="s">
        <v>395</v>
      </c>
      <c r="C53" t="s">
        <v>526</v>
      </c>
      <c r="D53" t="s">
        <v>535</v>
      </c>
      <c r="E53" t="s">
        <v>536</v>
      </c>
      <c r="F53">
        <v>67</v>
      </c>
      <c r="G53" s="7">
        <v>167</v>
      </c>
      <c r="H53" s="11">
        <v>34880</v>
      </c>
      <c r="I53" t="s">
        <v>537</v>
      </c>
      <c r="J53" t="s">
        <v>400</v>
      </c>
      <c r="K53" s="12">
        <f ca="1">DATEDIF(Table3[[#This Row],[День Рождения]],TODAY(),"y")</f>
        <v>30</v>
      </c>
      <c r="L53">
        <v>1995</v>
      </c>
    </row>
    <row r="54" spans="1:12" x14ac:dyDescent="0.3">
      <c r="A54">
        <v>53</v>
      </c>
      <c r="B54" t="s">
        <v>395</v>
      </c>
      <c r="C54" t="s">
        <v>526</v>
      </c>
      <c r="D54" t="s">
        <v>538</v>
      </c>
      <c r="E54" t="s">
        <v>539</v>
      </c>
      <c r="F54">
        <v>72</v>
      </c>
      <c r="G54" s="7">
        <v>180</v>
      </c>
      <c r="H54" s="11">
        <v>33749</v>
      </c>
      <c r="I54" t="s">
        <v>540</v>
      </c>
      <c r="J54" t="s">
        <v>400</v>
      </c>
      <c r="K54" s="12">
        <f ca="1">DATEDIF(Table3[[#This Row],[День Рождения]],TODAY(),"y")</f>
        <v>33</v>
      </c>
      <c r="L54">
        <v>1992</v>
      </c>
    </row>
    <row r="55" spans="1:12" x14ac:dyDescent="0.3">
      <c r="A55">
        <v>54</v>
      </c>
      <c r="B55" t="s">
        <v>395</v>
      </c>
      <c r="C55" t="s">
        <v>526</v>
      </c>
      <c r="D55" t="s">
        <v>541</v>
      </c>
      <c r="E55" t="s">
        <v>542</v>
      </c>
      <c r="F55">
        <v>62</v>
      </c>
      <c r="G55" s="7">
        <v>175</v>
      </c>
      <c r="H55" s="11">
        <v>33371</v>
      </c>
      <c r="I55" t="s">
        <v>543</v>
      </c>
      <c r="J55" t="s">
        <v>400</v>
      </c>
      <c r="K55" s="12">
        <f ca="1">DATEDIF(Table3[[#This Row],[День Рождения]],TODAY(),"y")</f>
        <v>34</v>
      </c>
      <c r="L55">
        <v>1991</v>
      </c>
    </row>
    <row r="56" spans="1:12" x14ac:dyDescent="0.3">
      <c r="A56">
        <v>55</v>
      </c>
      <c r="B56" t="s">
        <v>395</v>
      </c>
      <c r="C56" t="s">
        <v>526</v>
      </c>
      <c r="D56" t="s">
        <v>397</v>
      </c>
      <c r="E56" t="s">
        <v>544</v>
      </c>
      <c r="F56">
        <v>63</v>
      </c>
      <c r="G56" s="7">
        <v>172</v>
      </c>
      <c r="H56" s="11">
        <v>32023</v>
      </c>
      <c r="I56" t="s">
        <v>545</v>
      </c>
      <c r="J56" t="s">
        <v>400</v>
      </c>
      <c r="K56" s="12">
        <f ca="1">DATEDIF(Table3[[#This Row],[День Рождения]],TODAY(),"y")</f>
        <v>38</v>
      </c>
      <c r="L56">
        <v>1987</v>
      </c>
    </row>
    <row r="57" spans="1:12" x14ac:dyDescent="0.3">
      <c r="A57">
        <v>56</v>
      </c>
      <c r="B57" t="s">
        <v>395</v>
      </c>
      <c r="C57" t="s">
        <v>526</v>
      </c>
      <c r="D57" t="s">
        <v>546</v>
      </c>
      <c r="E57" t="s">
        <v>547</v>
      </c>
      <c r="F57">
        <v>64</v>
      </c>
      <c r="G57" s="7">
        <v>176</v>
      </c>
      <c r="H57" s="11">
        <v>34961</v>
      </c>
      <c r="I57" t="s">
        <v>453</v>
      </c>
      <c r="J57" t="s">
        <v>440</v>
      </c>
      <c r="K57" s="12">
        <f ca="1">DATEDIF(Table3[[#This Row],[День Рождения]],TODAY(),"y")</f>
        <v>30</v>
      </c>
      <c r="L57">
        <v>1995</v>
      </c>
    </row>
    <row r="58" spans="1:12" x14ac:dyDescent="0.3">
      <c r="A58">
        <v>57</v>
      </c>
      <c r="B58" t="s">
        <v>395</v>
      </c>
      <c r="C58" t="s">
        <v>526</v>
      </c>
      <c r="D58" t="s">
        <v>86</v>
      </c>
      <c r="E58" t="s">
        <v>548</v>
      </c>
      <c r="F58">
        <v>74</v>
      </c>
      <c r="G58" s="7">
        <v>166</v>
      </c>
      <c r="H58" s="11">
        <v>34508</v>
      </c>
      <c r="I58" t="s">
        <v>549</v>
      </c>
      <c r="J58" t="s">
        <v>457</v>
      </c>
      <c r="K58" s="12">
        <f ca="1">DATEDIF(Table3[[#This Row],[День Рождения]],TODAY(),"y")</f>
        <v>31</v>
      </c>
      <c r="L58">
        <v>1994</v>
      </c>
    </row>
    <row r="59" spans="1:12" x14ac:dyDescent="0.3">
      <c r="A59">
        <v>58</v>
      </c>
      <c r="B59" t="s">
        <v>395</v>
      </c>
      <c r="C59" t="s">
        <v>526</v>
      </c>
      <c r="D59" t="s">
        <v>550</v>
      </c>
      <c r="E59" t="s">
        <v>88</v>
      </c>
      <c r="F59">
        <v>60</v>
      </c>
      <c r="G59" s="7">
        <v>173</v>
      </c>
      <c r="H59" s="11">
        <v>35186</v>
      </c>
      <c r="I59" t="s">
        <v>551</v>
      </c>
      <c r="J59" t="s">
        <v>440</v>
      </c>
      <c r="K59" s="12">
        <f ca="1">DATEDIF(Table3[[#This Row],[День Рождения]],TODAY(),"y")</f>
        <v>29</v>
      </c>
      <c r="L59">
        <v>1996</v>
      </c>
    </row>
    <row r="60" spans="1:12" x14ac:dyDescent="0.3">
      <c r="A60">
        <v>59</v>
      </c>
      <c r="B60" t="s">
        <v>395</v>
      </c>
      <c r="C60" t="s">
        <v>526</v>
      </c>
      <c r="D60" t="s">
        <v>286</v>
      </c>
      <c r="E60" t="s">
        <v>552</v>
      </c>
      <c r="F60">
        <v>65</v>
      </c>
      <c r="G60" s="7">
        <v>160</v>
      </c>
      <c r="H60" s="11">
        <v>33478</v>
      </c>
      <c r="I60" t="s">
        <v>553</v>
      </c>
      <c r="J60" t="s">
        <v>400</v>
      </c>
      <c r="K60" s="12">
        <f ca="1">DATEDIF(Table3[[#This Row],[День Рождения]],TODAY(),"y")</f>
        <v>34</v>
      </c>
      <c r="L60">
        <v>1991</v>
      </c>
    </row>
    <row r="61" spans="1:12" x14ac:dyDescent="0.3">
      <c r="A61">
        <v>60</v>
      </c>
      <c r="B61" t="s">
        <v>395</v>
      </c>
      <c r="C61" t="s">
        <v>526</v>
      </c>
      <c r="D61" t="s">
        <v>554</v>
      </c>
      <c r="E61" t="s">
        <v>555</v>
      </c>
      <c r="F61">
        <v>71</v>
      </c>
      <c r="G61" s="7">
        <v>160</v>
      </c>
      <c r="H61" s="11">
        <v>32701</v>
      </c>
      <c r="I61" t="s">
        <v>556</v>
      </c>
      <c r="J61" t="s">
        <v>400</v>
      </c>
      <c r="K61" s="12">
        <f ca="1">DATEDIF(Table3[[#This Row],[День Рождения]],TODAY(),"y")</f>
        <v>36</v>
      </c>
      <c r="L61">
        <v>1989</v>
      </c>
    </row>
    <row r="62" spans="1:12" x14ac:dyDescent="0.3">
      <c r="A62">
        <v>61</v>
      </c>
      <c r="B62" t="s">
        <v>395</v>
      </c>
      <c r="C62" t="s">
        <v>526</v>
      </c>
      <c r="D62" t="s">
        <v>437</v>
      </c>
      <c r="E62" t="s">
        <v>557</v>
      </c>
      <c r="F62">
        <v>73</v>
      </c>
      <c r="G62" s="7">
        <v>176</v>
      </c>
      <c r="H62" s="11">
        <v>32692</v>
      </c>
      <c r="I62" t="s">
        <v>558</v>
      </c>
      <c r="J62" t="s">
        <v>400</v>
      </c>
      <c r="K62" s="12">
        <f ca="1">DATEDIF(Table3[[#This Row],[День Рождения]],TODAY(),"y")</f>
        <v>36</v>
      </c>
      <c r="L62">
        <v>1989</v>
      </c>
    </row>
    <row r="63" spans="1:12" x14ac:dyDescent="0.3">
      <c r="A63">
        <v>62</v>
      </c>
      <c r="B63" t="s">
        <v>395</v>
      </c>
      <c r="C63" t="s">
        <v>526</v>
      </c>
      <c r="D63" t="s">
        <v>559</v>
      </c>
      <c r="E63" t="s">
        <v>560</v>
      </c>
      <c r="F63">
        <v>64</v>
      </c>
      <c r="G63" s="7">
        <v>171</v>
      </c>
      <c r="H63" s="11">
        <v>32692</v>
      </c>
      <c r="I63" t="s">
        <v>558</v>
      </c>
      <c r="J63" t="s">
        <v>400</v>
      </c>
      <c r="K63" s="12">
        <f ca="1">DATEDIF(Table3[[#This Row],[День Рождения]],TODAY(),"y")</f>
        <v>36</v>
      </c>
      <c r="L63">
        <v>1989</v>
      </c>
    </row>
    <row r="64" spans="1:12" x14ac:dyDescent="0.3">
      <c r="A64">
        <v>63</v>
      </c>
      <c r="B64" t="s">
        <v>395</v>
      </c>
      <c r="C64" t="s">
        <v>526</v>
      </c>
      <c r="D64" t="s">
        <v>561</v>
      </c>
      <c r="E64" t="s">
        <v>562</v>
      </c>
      <c r="F64">
        <v>71</v>
      </c>
      <c r="G64" s="7">
        <v>169</v>
      </c>
      <c r="H64" s="11">
        <v>31843</v>
      </c>
      <c r="I64" t="s">
        <v>563</v>
      </c>
      <c r="J64" t="s">
        <v>400</v>
      </c>
      <c r="K64" s="12">
        <f ca="1">DATEDIF(Table3[[#This Row],[День Рождения]],TODAY(),"y")</f>
        <v>38</v>
      </c>
      <c r="L64">
        <v>1987</v>
      </c>
    </row>
    <row r="65" spans="1:12" x14ac:dyDescent="0.3">
      <c r="A65">
        <v>64</v>
      </c>
      <c r="B65" t="s">
        <v>395</v>
      </c>
      <c r="C65" t="s">
        <v>526</v>
      </c>
      <c r="D65" t="s">
        <v>564</v>
      </c>
      <c r="E65" t="s">
        <v>565</v>
      </c>
      <c r="F65">
        <v>73</v>
      </c>
      <c r="G65" s="7">
        <v>170</v>
      </c>
      <c r="H65" s="11">
        <v>34856</v>
      </c>
      <c r="I65" t="s">
        <v>566</v>
      </c>
      <c r="J65" t="s">
        <v>440</v>
      </c>
      <c r="K65" s="12">
        <f ca="1">DATEDIF(Table3[[#This Row],[День Рождения]],TODAY(),"y")</f>
        <v>30</v>
      </c>
      <c r="L65">
        <v>1995</v>
      </c>
    </row>
    <row r="66" spans="1:12" x14ac:dyDescent="0.3">
      <c r="A66">
        <v>65</v>
      </c>
      <c r="B66" t="s">
        <v>395</v>
      </c>
      <c r="C66" t="s">
        <v>526</v>
      </c>
      <c r="D66" t="s">
        <v>290</v>
      </c>
      <c r="E66" t="s">
        <v>567</v>
      </c>
      <c r="F66">
        <v>61</v>
      </c>
      <c r="G66" s="7">
        <v>168</v>
      </c>
      <c r="H66" s="11">
        <v>35062</v>
      </c>
      <c r="I66" t="s">
        <v>537</v>
      </c>
      <c r="J66" t="s">
        <v>400</v>
      </c>
      <c r="K66" s="12">
        <f ca="1">DATEDIF(Table3[[#This Row],[День Рождения]],TODAY(),"y")</f>
        <v>30</v>
      </c>
      <c r="L66">
        <v>1995</v>
      </c>
    </row>
    <row r="67" spans="1:12" x14ac:dyDescent="0.3">
      <c r="A67">
        <v>66</v>
      </c>
      <c r="B67" t="s">
        <v>395</v>
      </c>
      <c r="C67" t="s">
        <v>526</v>
      </c>
      <c r="D67" t="s">
        <v>286</v>
      </c>
      <c r="E67" t="s">
        <v>568</v>
      </c>
      <c r="F67">
        <v>73</v>
      </c>
      <c r="G67" s="7">
        <v>169</v>
      </c>
      <c r="H67" s="11">
        <v>34118</v>
      </c>
      <c r="I67" t="s">
        <v>569</v>
      </c>
      <c r="J67" t="s">
        <v>400</v>
      </c>
      <c r="K67" s="12">
        <f ca="1">DATEDIF(Table3[[#This Row],[День Рождения]],TODAY(),"y")</f>
        <v>32</v>
      </c>
      <c r="L67">
        <v>1993</v>
      </c>
    </row>
    <row r="68" spans="1:12" x14ac:dyDescent="0.3">
      <c r="A68">
        <v>67</v>
      </c>
      <c r="B68" t="s">
        <v>395</v>
      </c>
      <c r="C68" t="s">
        <v>526</v>
      </c>
      <c r="D68" t="s">
        <v>428</v>
      </c>
      <c r="E68" t="s">
        <v>570</v>
      </c>
      <c r="F68">
        <v>73</v>
      </c>
      <c r="G68" s="7">
        <v>172</v>
      </c>
      <c r="H68" s="11">
        <v>34134</v>
      </c>
      <c r="I68" t="s">
        <v>571</v>
      </c>
      <c r="J68" t="s">
        <v>440</v>
      </c>
      <c r="K68" s="12">
        <f ca="1">DATEDIF(Table3[[#This Row],[День Рождения]],TODAY(),"y")</f>
        <v>32</v>
      </c>
      <c r="L68">
        <v>1993</v>
      </c>
    </row>
    <row r="69" spans="1:12" x14ac:dyDescent="0.3">
      <c r="A69">
        <v>68</v>
      </c>
      <c r="B69" t="s">
        <v>395</v>
      </c>
      <c r="C69" t="s">
        <v>526</v>
      </c>
      <c r="D69" t="s">
        <v>572</v>
      </c>
      <c r="E69" t="s">
        <v>573</v>
      </c>
      <c r="F69">
        <v>72</v>
      </c>
      <c r="G69" s="7">
        <v>176</v>
      </c>
      <c r="H69" s="11">
        <v>33606</v>
      </c>
      <c r="I69" t="s">
        <v>574</v>
      </c>
      <c r="J69" t="s">
        <v>457</v>
      </c>
      <c r="K69" s="12">
        <f ca="1">DATEDIF(Table3[[#This Row],[День Рождения]],TODAY(),"y")</f>
        <v>34</v>
      </c>
      <c r="L69">
        <v>1992</v>
      </c>
    </row>
    <row r="70" spans="1:12" x14ac:dyDescent="0.3">
      <c r="A70">
        <v>69</v>
      </c>
      <c r="B70" t="s">
        <v>395</v>
      </c>
      <c r="C70" t="s">
        <v>526</v>
      </c>
      <c r="D70" t="s">
        <v>575</v>
      </c>
      <c r="E70" t="s">
        <v>576</v>
      </c>
      <c r="F70">
        <v>69</v>
      </c>
      <c r="G70" s="7">
        <v>171</v>
      </c>
      <c r="H70" s="11">
        <v>35618</v>
      </c>
      <c r="I70" t="s">
        <v>577</v>
      </c>
      <c r="J70" t="s">
        <v>457</v>
      </c>
      <c r="K70" s="12">
        <f ca="1">DATEDIF(Table3[[#This Row],[День Рождения]],TODAY(),"y")</f>
        <v>28</v>
      </c>
      <c r="L70">
        <v>1997</v>
      </c>
    </row>
    <row r="71" spans="1:12" x14ac:dyDescent="0.3">
      <c r="A71">
        <v>70</v>
      </c>
      <c r="B71" t="s">
        <v>395</v>
      </c>
      <c r="C71" t="s">
        <v>526</v>
      </c>
      <c r="D71" t="s">
        <v>423</v>
      </c>
      <c r="E71" t="s">
        <v>578</v>
      </c>
      <c r="F71">
        <v>67</v>
      </c>
      <c r="G71" s="7">
        <v>164</v>
      </c>
      <c r="H71" s="11">
        <v>34337</v>
      </c>
      <c r="I71" t="s">
        <v>579</v>
      </c>
      <c r="J71" t="s">
        <v>400</v>
      </c>
      <c r="K71" s="12">
        <f ca="1">DATEDIF(Table3[[#This Row],[День Рождения]],TODAY(),"y")</f>
        <v>32</v>
      </c>
      <c r="L71">
        <v>1994</v>
      </c>
    </row>
    <row r="72" spans="1:12" x14ac:dyDescent="0.3">
      <c r="A72">
        <v>71</v>
      </c>
      <c r="B72" t="s">
        <v>395</v>
      </c>
      <c r="C72" t="s">
        <v>526</v>
      </c>
      <c r="D72" t="s">
        <v>65</v>
      </c>
      <c r="E72" t="s">
        <v>580</v>
      </c>
      <c r="F72">
        <v>72</v>
      </c>
      <c r="G72" s="7">
        <v>166</v>
      </c>
      <c r="H72" s="11">
        <v>34447</v>
      </c>
      <c r="I72" t="s">
        <v>581</v>
      </c>
      <c r="J72" t="s">
        <v>440</v>
      </c>
      <c r="K72" s="12">
        <f ca="1">DATEDIF(Table3[[#This Row],[День Рождения]],TODAY(),"y")</f>
        <v>31</v>
      </c>
      <c r="L72">
        <v>1994</v>
      </c>
    </row>
    <row r="73" spans="1:12" x14ac:dyDescent="0.3">
      <c r="A73">
        <v>72</v>
      </c>
      <c r="B73" t="s">
        <v>464</v>
      </c>
      <c r="C73" t="s">
        <v>526</v>
      </c>
      <c r="D73" t="s">
        <v>582</v>
      </c>
      <c r="E73" t="s">
        <v>583</v>
      </c>
      <c r="F73">
        <v>60</v>
      </c>
      <c r="G73" s="7">
        <v>161</v>
      </c>
      <c r="H73" s="11">
        <v>32367</v>
      </c>
      <c r="I73" t="s">
        <v>584</v>
      </c>
      <c r="J73" t="s">
        <v>400</v>
      </c>
      <c r="K73" s="12">
        <f ca="1">DATEDIF(Table3[[#This Row],[День Рождения]],TODAY(),"y")</f>
        <v>37</v>
      </c>
      <c r="L73">
        <v>1988</v>
      </c>
    </row>
    <row r="74" spans="1:12" x14ac:dyDescent="0.3">
      <c r="A74">
        <v>73</v>
      </c>
      <c r="B74" t="s">
        <v>464</v>
      </c>
      <c r="C74" t="s">
        <v>526</v>
      </c>
      <c r="D74" t="s">
        <v>585</v>
      </c>
      <c r="E74" t="s">
        <v>586</v>
      </c>
      <c r="F74">
        <v>70</v>
      </c>
      <c r="G74" s="7">
        <v>164</v>
      </c>
      <c r="H74" s="11">
        <v>32654</v>
      </c>
      <c r="I74" t="s">
        <v>587</v>
      </c>
      <c r="J74" t="s">
        <v>440</v>
      </c>
      <c r="K74" s="12">
        <f ca="1">DATEDIF(Table3[[#This Row],[День Рождения]],TODAY(),"y")</f>
        <v>36</v>
      </c>
      <c r="L74">
        <v>1989</v>
      </c>
    </row>
    <row r="75" spans="1:12" x14ac:dyDescent="0.3">
      <c r="A75">
        <v>74</v>
      </c>
      <c r="B75" t="s">
        <v>464</v>
      </c>
      <c r="C75" t="s">
        <v>526</v>
      </c>
      <c r="D75" t="s">
        <v>588</v>
      </c>
      <c r="E75" t="s">
        <v>589</v>
      </c>
      <c r="F75">
        <v>68</v>
      </c>
      <c r="G75" s="7">
        <v>173</v>
      </c>
      <c r="H75" s="11">
        <v>32538</v>
      </c>
      <c r="I75" t="s">
        <v>590</v>
      </c>
      <c r="J75" t="s">
        <v>440</v>
      </c>
      <c r="K75" s="12">
        <f ca="1">DATEDIF(Table3[[#This Row],[День Рождения]],TODAY(),"y")</f>
        <v>37</v>
      </c>
      <c r="L75">
        <v>1989</v>
      </c>
    </row>
    <row r="76" spans="1:12" x14ac:dyDescent="0.3">
      <c r="A76">
        <v>75</v>
      </c>
      <c r="B76" t="s">
        <v>464</v>
      </c>
      <c r="C76" t="s">
        <v>526</v>
      </c>
      <c r="D76" t="s">
        <v>591</v>
      </c>
      <c r="E76" t="s">
        <v>592</v>
      </c>
      <c r="F76">
        <v>63</v>
      </c>
      <c r="G76" s="7">
        <v>165</v>
      </c>
      <c r="H76" s="11">
        <v>35418</v>
      </c>
      <c r="I76" t="s">
        <v>593</v>
      </c>
      <c r="J76" t="s">
        <v>440</v>
      </c>
      <c r="K76" s="12">
        <f ca="1">DATEDIF(Table3[[#This Row],[День Рождения]],TODAY(),"y")</f>
        <v>29</v>
      </c>
      <c r="L76">
        <v>1996</v>
      </c>
    </row>
    <row r="77" spans="1:12" x14ac:dyDescent="0.3">
      <c r="A77">
        <v>76</v>
      </c>
      <c r="B77" t="s">
        <v>464</v>
      </c>
      <c r="C77" t="s">
        <v>526</v>
      </c>
      <c r="D77" t="s">
        <v>474</v>
      </c>
      <c r="E77" t="s">
        <v>485</v>
      </c>
      <c r="F77">
        <v>73</v>
      </c>
      <c r="G77" s="7">
        <v>170</v>
      </c>
      <c r="H77" s="11">
        <v>31441</v>
      </c>
      <c r="I77" t="s">
        <v>594</v>
      </c>
      <c r="J77" t="s">
        <v>400</v>
      </c>
      <c r="K77" s="12">
        <f ca="1">DATEDIF(Table3[[#This Row],[День Рождения]],TODAY(),"y")</f>
        <v>40</v>
      </c>
      <c r="L77">
        <v>1986</v>
      </c>
    </row>
    <row r="78" spans="1:12" x14ac:dyDescent="0.3">
      <c r="A78">
        <v>77</v>
      </c>
      <c r="B78" t="s">
        <v>464</v>
      </c>
      <c r="C78" t="s">
        <v>526</v>
      </c>
      <c r="D78" t="s">
        <v>335</v>
      </c>
      <c r="E78" t="s">
        <v>595</v>
      </c>
      <c r="F78">
        <v>69</v>
      </c>
      <c r="G78" s="7">
        <v>169</v>
      </c>
      <c r="H78" s="11">
        <v>31893</v>
      </c>
      <c r="I78" t="s">
        <v>596</v>
      </c>
      <c r="J78" t="s">
        <v>400</v>
      </c>
      <c r="K78" s="12">
        <f ca="1">DATEDIF(Table3[[#This Row],[День Рождения]],TODAY(),"y")</f>
        <v>38</v>
      </c>
      <c r="L78">
        <v>1987</v>
      </c>
    </row>
    <row r="79" spans="1:12" x14ac:dyDescent="0.3">
      <c r="A79">
        <v>78</v>
      </c>
      <c r="B79" t="s">
        <v>464</v>
      </c>
      <c r="C79" t="s">
        <v>526</v>
      </c>
      <c r="D79" t="s">
        <v>597</v>
      </c>
      <c r="E79" t="s">
        <v>598</v>
      </c>
      <c r="F79">
        <v>61</v>
      </c>
      <c r="G79" s="7">
        <v>180</v>
      </c>
      <c r="H79" s="11">
        <v>35164</v>
      </c>
      <c r="I79" t="s">
        <v>599</v>
      </c>
      <c r="J79" t="s">
        <v>400</v>
      </c>
      <c r="K79" s="12">
        <f ca="1">DATEDIF(Table3[[#This Row],[День Рождения]],TODAY(),"y")</f>
        <v>29</v>
      </c>
      <c r="L79">
        <v>1996</v>
      </c>
    </row>
    <row r="80" spans="1:12" x14ac:dyDescent="0.3">
      <c r="A80">
        <v>79</v>
      </c>
      <c r="B80" t="s">
        <v>464</v>
      </c>
      <c r="C80" t="s">
        <v>526</v>
      </c>
      <c r="D80" t="s">
        <v>600</v>
      </c>
      <c r="E80" t="s">
        <v>601</v>
      </c>
      <c r="F80">
        <v>73</v>
      </c>
      <c r="G80" s="7">
        <v>169</v>
      </c>
      <c r="H80" s="11">
        <v>30883</v>
      </c>
      <c r="I80" t="s">
        <v>602</v>
      </c>
      <c r="J80" t="s">
        <v>440</v>
      </c>
      <c r="K80" s="12">
        <f ca="1">DATEDIF(Table3[[#This Row],[День Рождения]],TODAY(),"y")</f>
        <v>41</v>
      </c>
      <c r="L80">
        <v>1984</v>
      </c>
    </row>
    <row r="81" spans="1:12" x14ac:dyDescent="0.3">
      <c r="A81">
        <v>80</v>
      </c>
      <c r="B81" t="s">
        <v>464</v>
      </c>
      <c r="C81" t="s">
        <v>526</v>
      </c>
      <c r="D81" t="s">
        <v>603</v>
      </c>
      <c r="E81" t="s">
        <v>604</v>
      </c>
      <c r="F81">
        <v>67</v>
      </c>
      <c r="G81" s="7">
        <v>160</v>
      </c>
      <c r="H81" s="11">
        <v>28873</v>
      </c>
      <c r="I81" t="s">
        <v>605</v>
      </c>
      <c r="J81" t="s">
        <v>400</v>
      </c>
      <c r="K81" s="12">
        <f ca="1">DATEDIF(Table3[[#This Row],[День Рождения]],TODAY(),"y")</f>
        <v>47</v>
      </c>
      <c r="L81">
        <v>1979</v>
      </c>
    </row>
    <row r="82" spans="1:12" x14ac:dyDescent="0.3">
      <c r="A82">
        <v>81</v>
      </c>
      <c r="B82" t="s">
        <v>464</v>
      </c>
      <c r="C82" t="s">
        <v>526</v>
      </c>
      <c r="D82" t="s">
        <v>606</v>
      </c>
      <c r="E82" t="s">
        <v>607</v>
      </c>
      <c r="F82">
        <v>64</v>
      </c>
      <c r="G82" s="7">
        <v>172</v>
      </c>
      <c r="H82" s="11">
        <v>35477</v>
      </c>
      <c r="I82" t="s">
        <v>608</v>
      </c>
      <c r="J82" t="s">
        <v>400</v>
      </c>
      <c r="K82" s="12">
        <f ca="1">DATEDIF(Table3[[#This Row],[День Рождения]],TODAY(),"y")</f>
        <v>29</v>
      </c>
      <c r="L82">
        <v>1997</v>
      </c>
    </row>
    <row r="83" spans="1:12" x14ac:dyDescent="0.3">
      <c r="A83">
        <v>82</v>
      </c>
      <c r="B83" t="s">
        <v>464</v>
      </c>
      <c r="C83" t="s">
        <v>526</v>
      </c>
      <c r="D83" t="s">
        <v>597</v>
      </c>
      <c r="E83" t="s">
        <v>609</v>
      </c>
      <c r="F83">
        <v>74</v>
      </c>
      <c r="G83" s="7">
        <v>164</v>
      </c>
      <c r="H83" s="11">
        <v>31275</v>
      </c>
      <c r="I83" t="s">
        <v>610</v>
      </c>
      <c r="J83" t="s">
        <v>440</v>
      </c>
      <c r="K83" s="12">
        <f ca="1">DATEDIF(Table3[[#This Row],[День Рождения]],TODAY(),"y")</f>
        <v>40</v>
      </c>
      <c r="L83">
        <v>1985</v>
      </c>
    </row>
    <row r="84" spans="1:12" x14ac:dyDescent="0.3">
      <c r="A84">
        <v>83</v>
      </c>
      <c r="B84" t="s">
        <v>464</v>
      </c>
      <c r="C84" t="s">
        <v>526</v>
      </c>
      <c r="D84" t="s">
        <v>585</v>
      </c>
      <c r="E84" t="s">
        <v>611</v>
      </c>
      <c r="F84">
        <v>72</v>
      </c>
      <c r="G84" s="7">
        <v>163</v>
      </c>
      <c r="H84" s="11">
        <v>31438</v>
      </c>
      <c r="I84" t="s">
        <v>612</v>
      </c>
      <c r="J84" t="s">
        <v>400</v>
      </c>
      <c r="K84" s="12">
        <f ca="1">DATEDIF(Table3[[#This Row],[День Рождения]],TODAY(),"y")</f>
        <v>40</v>
      </c>
      <c r="L84">
        <v>1986</v>
      </c>
    </row>
    <row r="85" spans="1:12" x14ac:dyDescent="0.3">
      <c r="A85">
        <v>84</v>
      </c>
      <c r="B85" t="s">
        <v>464</v>
      </c>
      <c r="C85" t="s">
        <v>526</v>
      </c>
      <c r="D85" t="s">
        <v>354</v>
      </c>
      <c r="E85" t="s">
        <v>613</v>
      </c>
      <c r="F85">
        <v>69</v>
      </c>
      <c r="G85" s="7">
        <v>160</v>
      </c>
      <c r="H85" s="11">
        <v>30894</v>
      </c>
      <c r="I85" t="s">
        <v>571</v>
      </c>
      <c r="J85" t="s">
        <v>457</v>
      </c>
      <c r="K85" s="12">
        <f ca="1">DATEDIF(Table3[[#This Row],[День Рождения]],TODAY(),"y")</f>
        <v>41</v>
      </c>
      <c r="L85">
        <v>1984</v>
      </c>
    </row>
    <row r="86" spans="1:12" x14ac:dyDescent="0.3">
      <c r="A86">
        <v>85</v>
      </c>
      <c r="B86" t="s">
        <v>464</v>
      </c>
      <c r="C86" t="s">
        <v>526</v>
      </c>
      <c r="D86" t="s">
        <v>614</v>
      </c>
      <c r="E86" t="s">
        <v>615</v>
      </c>
      <c r="F86">
        <v>61</v>
      </c>
      <c r="G86" s="7">
        <v>176</v>
      </c>
      <c r="H86" s="11">
        <v>32226</v>
      </c>
      <c r="I86" t="s">
        <v>616</v>
      </c>
      <c r="J86" t="s">
        <v>400</v>
      </c>
      <c r="K86" s="12">
        <f ca="1">DATEDIF(Table3[[#This Row],[День Рождения]],TODAY(),"y")</f>
        <v>37</v>
      </c>
      <c r="L86">
        <v>1988</v>
      </c>
    </row>
    <row r="87" spans="1:12" x14ac:dyDescent="0.3">
      <c r="A87">
        <v>86</v>
      </c>
      <c r="B87" t="s">
        <v>464</v>
      </c>
      <c r="C87" t="s">
        <v>526</v>
      </c>
      <c r="D87" t="s">
        <v>478</v>
      </c>
      <c r="E87" t="s">
        <v>617</v>
      </c>
      <c r="F87">
        <v>73</v>
      </c>
      <c r="G87" s="7">
        <v>180</v>
      </c>
      <c r="H87" s="11">
        <v>33319</v>
      </c>
      <c r="I87" t="s">
        <v>618</v>
      </c>
      <c r="J87" t="s">
        <v>457</v>
      </c>
      <c r="K87" s="12">
        <f ca="1">DATEDIF(Table3[[#This Row],[День Рождения]],TODAY(),"y")</f>
        <v>34</v>
      </c>
      <c r="L87">
        <v>1991</v>
      </c>
    </row>
    <row r="88" spans="1:12" x14ac:dyDescent="0.3">
      <c r="A88">
        <v>87</v>
      </c>
      <c r="B88" t="s">
        <v>464</v>
      </c>
      <c r="C88" t="s">
        <v>526</v>
      </c>
      <c r="D88" t="s">
        <v>68</v>
      </c>
      <c r="E88" t="s">
        <v>619</v>
      </c>
      <c r="F88">
        <v>65</v>
      </c>
      <c r="G88" s="7">
        <v>161</v>
      </c>
      <c r="H88" s="11">
        <v>31633</v>
      </c>
      <c r="I88" t="s">
        <v>620</v>
      </c>
      <c r="J88" t="s">
        <v>400</v>
      </c>
      <c r="K88" s="12">
        <f ca="1">DATEDIF(Table3[[#This Row],[День Рождения]],TODAY(),"y")</f>
        <v>39</v>
      </c>
      <c r="L88">
        <v>1986</v>
      </c>
    </row>
    <row r="89" spans="1:12" x14ac:dyDescent="0.3">
      <c r="A89">
        <v>88</v>
      </c>
      <c r="B89" t="s">
        <v>464</v>
      </c>
      <c r="C89" t="s">
        <v>526</v>
      </c>
      <c r="D89" t="s">
        <v>603</v>
      </c>
      <c r="E89" t="s">
        <v>621</v>
      </c>
      <c r="F89">
        <v>75</v>
      </c>
      <c r="G89" s="7">
        <v>178</v>
      </c>
      <c r="H89" s="11">
        <v>32295</v>
      </c>
      <c r="I89" t="s">
        <v>622</v>
      </c>
      <c r="J89" t="s">
        <v>400</v>
      </c>
      <c r="K89" s="12">
        <f ca="1">DATEDIF(Table3[[#This Row],[День Рождения]],TODAY(),"y")</f>
        <v>37</v>
      </c>
      <c r="L89">
        <v>1988</v>
      </c>
    </row>
    <row r="90" spans="1:12" x14ac:dyDescent="0.3">
      <c r="A90">
        <v>89</v>
      </c>
      <c r="B90" t="s">
        <v>464</v>
      </c>
      <c r="C90" t="s">
        <v>526</v>
      </c>
      <c r="D90" t="s">
        <v>623</v>
      </c>
      <c r="E90" t="s">
        <v>624</v>
      </c>
      <c r="F90">
        <v>65</v>
      </c>
      <c r="G90" s="7">
        <v>172</v>
      </c>
      <c r="H90" s="11">
        <v>32195</v>
      </c>
      <c r="I90" t="s">
        <v>625</v>
      </c>
      <c r="J90" t="s">
        <v>400</v>
      </c>
      <c r="K90" s="12">
        <f ca="1">DATEDIF(Table3[[#This Row],[День Рождения]],TODAY(),"y")</f>
        <v>38</v>
      </c>
      <c r="L90">
        <v>1988</v>
      </c>
    </row>
    <row r="91" spans="1:12" x14ac:dyDescent="0.3">
      <c r="A91">
        <v>90</v>
      </c>
      <c r="B91" t="s">
        <v>464</v>
      </c>
      <c r="C91" t="s">
        <v>526</v>
      </c>
      <c r="D91" t="s">
        <v>335</v>
      </c>
      <c r="E91" t="s">
        <v>626</v>
      </c>
      <c r="F91">
        <v>70</v>
      </c>
      <c r="G91" s="7">
        <v>179</v>
      </c>
      <c r="H91" s="11">
        <v>32202</v>
      </c>
      <c r="I91" t="s">
        <v>627</v>
      </c>
      <c r="J91" t="s">
        <v>440</v>
      </c>
      <c r="K91" s="12">
        <f ca="1">DATEDIF(Table3[[#This Row],[День Рождения]],TODAY(),"y")</f>
        <v>38</v>
      </c>
      <c r="L91">
        <v>1988</v>
      </c>
    </row>
    <row r="92" spans="1:12" x14ac:dyDescent="0.3">
      <c r="A92">
        <v>91</v>
      </c>
      <c r="B92" t="s">
        <v>464</v>
      </c>
      <c r="C92" t="s">
        <v>526</v>
      </c>
      <c r="D92" t="s">
        <v>628</v>
      </c>
      <c r="E92" t="s">
        <v>629</v>
      </c>
      <c r="F92">
        <v>66</v>
      </c>
      <c r="G92" s="7">
        <v>161</v>
      </c>
      <c r="H92" s="11">
        <v>30294</v>
      </c>
      <c r="I92" t="s">
        <v>630</v>
      </c>
      <c r="J92" t="s">
        <v>400</v>
      </c>
      <c r="K92" s="12">
        <f ca="1">DATEDIF(Table3[[#This Row],[День Рождения]],TODAY(),"y")</f>
        <v>43</v>
      </c>
      <c r="L92">
        <v>1982</v>
      </c>
    </row>
    <row r="93" spans="1:12" x14ac:dyDescent="0.3">
      <c r="A93">
        <v>92</v>
      </c>
      <c r="B93" t="s">
        <v>464</v>
      </c>
      <c r="C93" t="s">
        <v>526</v>
      </c>
      <c r="D93" t="s">
        <v>597</v>
      </c>
      <c r="E93" t="s">
        <v>631</v>
      </c>
      <c r="F93">
        <v>62</v>
      </c>
      <c r="G93" s="7">
        <v>166</v>
      </c>
      <c r="H93" s="11">
        <v>31880</v>
      </c>
      <c r="I93" t="s">
        <v>632</v>
      </c>
      <c r="J93" t="s">
        <v>400</v>
      </c>
      <c r="K93" s="12">
        <f ca="1">DATEDIF(Table3[[#This Row],[День Рождения]],TODAY(),"y")</f>
        <v>38</v>
      </c>
      <c r="L93">
        <v>1987</v>
      </c>
    </row>
    <row r="94" spans="1:12" x14ac:dyDescent="0.3">
      <c r="A94">
        <v>93</v>
      </c>
      <c r="B94" t="s">
        <v>464</v>
      </c>
      <c r="C94" t="s">
        <v>526</v>
      </c>
      <c r="D94" t="s">
        <v>633</v>
      </c>
      <c r="E94" t="s">
        <v>634</v>
      </c>
      <c r="F94">
        <v>74</v>
      </c>
      <c r="G94" s="7">
        <v>160</v>
      </c>
      <c r="H94" s="11">
        <v>35683</v>
      </c>
      <c r="I94" t="s">
        <v>635</v>
      </c>
      <c r="J94" t="s">
        <v>400</v>
      </c>
      <c r="K94" s="12">
        <f ca="1">DATEDIF(Table3[[#This Row],[День Рождения]],TODAY(),"y")</f>
        <v>28</v>
      </c>
      <c r="L94">
        <v>1997</v>
      </c>
    </row>
    <row r="95" spans="1:12" x14ac:dyDescent="0.3">
      <c r="A95">
        <v>94</v>
      </c>
      <c r="B95" t="s">
        <v>464</v>
      </c>
      <c r="C95" t="s">
        <v>526</v>
      </c>
      <c r="D95" t="s">
        <v>636</v>
      </c>
      <c r="E95" t="s">
        <v>637</v>
      </c>
      <c r="F95">
        <v>74</v>
      </c>
      <c r="G95" s="7">
        <v>172</v>
      </c>
      <c r="H95" s="11">
        <v>30189</v>
      </c>
      <c r="I95" t="s">
        <v>638</v>
      </c>
      <c r="J95" t="s">
        <v>440</v>
      </c>
      <c r="K95" s="12">
        <f ca="1">DATEDIF(Table3[[#This Row],[День Рождения]],TODAY(),"y")</f>
        <v>43</v>
      </c>
      <c r="L95">
        <v>1982</v>
      </c>
    </row>
    <row r="96" spans="1:12" x14ac:dyDescent="0.3">
      <c r="A96">
        <v>95</v>
      </c>
      <c r="B96" t="s">
        <v>464</v>
      </c>
      <c r="C96" t="s">
        <v>526</v>
      </c>
      <c r="D96" t="s">
        <v>30</v>
      </c>
      <c r="E96" t="s">
        <v>350</v>
      </c>
      <c r="F96">
        <v>65</v>
      </c>
      <c r="G96" s="7">
        <v>165</v>
      </c>
      <c r="H96" s="11">
        <v>30733</v>
      </c>
      <c r="I96" t="s">
        <v>608</v>
      </c>
      <c r="J96" t="s">
        <v>440</v>
      </c>
      <c r="K96" s="12">
        <f ca="1">DATEDIF(Table3[[#This Row],[День Рождения]],TODAY(),"y")</f>
        <v>42</v>
      </c>
      <c r="L96">
        <v>1984</v>
      </c>
    </row>
    <row r="97" spans="1:12" x14ac:dyDescent="0.3">
      <c r="A97">
        <v>96</v>
      </c>
      <c r="B97" t="s">
        <v>464</v>
      </c>
      <c r="C97" t="s">
        <v>526</v>
      </c>
      <c r="D97" t="s">
        <v>597</v>
      </c>
      <c r="E97" t="s">
        <v>639</v>
      </c>
      <c r="F97">
        <v>74</v>
      </c>
      <c r="G97" s="7">
        <v>166</v>
      </c>
      <c r="H97" s="11">
        <v>31727</v>
      </c>
      <c r="I97" t="s">
        <v>640</v>
      </c>
      <c r="J97" t="s">
        <v>457</v>
      </c>
      <c r="K97" s="12">
        <f ca="1">DATEDIF(Table3[[#This Row],[День Рождения]],TODAY(),"y")</f>
        <v>39</v>
      </c>
      <c r="L97">
        <v>1986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ACA6-B14A-4065-A9F1-1AE9DF4B777B}">
  <dimension ref="B3:T37"/>
  <sheetViews>
    <sheetView zoomScale="76" workbookViewId="0">
      <selection activeCell="O37" sqref="O37"/>
    </sheetView>
  </sheetViews>
  <sheetFormatPr defaultRowHeight="14.4" x14ac:dyDescent="0.3"/>
  <cols>
    <col min="2" max="2" width="13.5546875" bestFit="1" customWidth="1"/>
    <col min="3" max="3" width="16.44140625" bestFit="1" customWidth="1"/>
    <col min="4" max="4" width="9.88671875" bestFit="1" customWidth="1"/>
    <col min="5" max="5" width="11.21875" bestFit="1" customWidth="1"/>
    <col min="6" max="6" width="12.6640625" bestFit="1" customWidth="1"/>
    <col min="7" max="7" width="15.5546875" bestFit="1" customWidth="1"/>
    <col min="8" max="8" width="17.109375" bestFit="1" customWidth="1"/>
    <col min="9" max="9" width="16.6640625" bestFit="1" customWidth="1"/>
    <col min="10" max="10" width="9.77734375" bestFit="1" customWidth="1"/>
    <col min="11" max="11" width="12.5546875" bestFit="1" customWidth="1"/>
    <col min="12" max="12" width="10" bestFit="1" customWidth="1"/>
    <col min="13" max="13" width="9.77734375" bestFit="1" customWidth="1"/>
    <col min="14" max="14" width="10" bestFit="1" customWidth="1"/>
    <col min="15" max="15" width="11.33203125" bestFit="1" customWidth="1"/>
    <col min="16" max="16" width="13.88671875" bestFit="1" customWidth="1"/>
    <col min="17" max="17" width="15.5546875" bestFit="1" customWidth="1"/>
    <col min="18" max="18" width="22.5546875" bestFit="1" customWidth="1"/>
    <col min="19" max="19" width="19.5546875" bestFit="1" customWidth="1"/>
    <col min="20" max="20" width="18.77734375" bestFit="1" customWidth="1"/>
  </cols>
  <sheetData>
    <row r="3" spans="2:18" x14ac:dyDescent="0.3">
      <c r="B3" s="6" t="s">
        <v>649</v>
      </c>
    </row>
    <row r="4" spans="2:18" x14ac:dyDescent="0.3">
      <c r="O4" s="29" t="s">
        <v>648</v>
      </c>
      <c r="P4" s="29"/>
      <c r="Q4" s="29"/>
      <c r="R4" s="29"/>
    </row>
    <row r="5" spans="2:18" x14ac:dyDescent="0.3">
      <c r="C5" s="30" t="s">
        <v>648</v>
      </c>
      <c r="D5" s="30"/>
      <c r="E5" s="30"/>
      <c r="F5" s="30"/>
      <c r="G5" s="30"/>
      <c r="H5" s="30"/>
      <c r="I5" s="30"/>
      <c r="O5" s="30" t="s">
        <v>396</v>
      </c>
      <c r="P5" s="30"/>
      <c r="Q5" s="30" t="s">
        <v>526</v>
      </c>
      <c r="R5" s="30"/>
    </row>
    <row r="6" spans="2:18" x14ac:dyDescent="0.3">
      <c r="C6" s="4" t="s">
        <v>642</v>
      </c>
      <c r="D6" t="s">
        <v>641</v>
      </c>
      <c r="E6" s="4" t="s">
        <v>647</v>
      </c>
      <c r="F6" s="4" t="s">
        <v>646</v>
      </c>
      <c r="G6" s="4" t="s">
        <v>400</v>
      </c>
      <c r="H6" s="4" t="s">
        <v>440</v>
      </c>
      <c r="I6" s="4" t="s">
        <v>457</v>
      </c>
      <c r="O6" s="4" t="s">
        <v>642</v>
      </c>
      <c r="P6" s="4" t="s">
        <v>641</v>
      </c>
      <c r="Q6" s="4" t="s">
        <v>642</v>
      </c>
      <c r="R6" s="4" t="s">
        <v>641</v>
      </c>
    </row>
    <row r="7" spans="2:18" x14ac:dyDescent="0.3">
      <c r="B7" s="2" t="s">
        <v>396</v>
      </c>
      <c r="C7" s="2">
        <v>25</v>
      </c>
      <c r="D7" s="2">
        <v>23</v>
      </c>
      <c r="E7" s="2">
        <v>25</v>
      </c>
      <c r="F7" s="2">
        <v>23</v>
      </c>
      <c r="G7" s="2">
        <v>28</v>
      </c>
      <c r="H7" s="2">
        <v>14</v>
      </c>
      <c r="I7" s="2">
        <v>6</v>
      </c>
      <c r="N7" s="2" t="s">
        <v>400</v>
      </c>
      <c r="O7" s="2">
        <v>14</v>
      </c>
      <c r="P7" s="2">
        <v>14</v>
      </c>
      <c r="Q7" s="2">
        <v>14</v>
      </c>
      <c r="R7" s="2">
        <v>13</v>
      </c>
    </row>
    <row r="8" spans="2:18" x14ac:dyDescent="0.3">
      <c r="B8" s="2" t="s">
        <v>526</v>
      </c>
      <c r="C8" s="2">
        <v>25</v>
      </c>
      <c r="D8" s="2">
        <v>23</v>
      </c>
      <c r="E8" s="2">
        <v>22</v>
      </c>
      <c r="F8" s="2">
        <v>26</v>
      </c>
      <c r="G8" s="2">
        <v>27</v>
      </c>
      <c r="H8" s="2">
        <v>15</v>
      </c>
      <c r="I8" s="2">
        <v>6</v>
      </c>
      <c r="N8" s="2" t="s">
        <v>440</v>
      </c>
      <c r="O8" s="2">
        <v>8</v>
      </c>
      <c r="P8" s="2">
        <v>6</v>
      </c>
      <c r="Q8" s="2">
        <v>8</v>
      </c>
      <c r="R8" s="2">
        <v>7</v>
      </c>
    </row>
    <row r="9" spans="2:18" x14ac:dyDescent="0.3">
      <c r="N9" s="2" t="s">
        <v>457</v>
      </c>
      <c r="O9" s="2">
        <v>3</v>
      </c>
      <c r="P9" s="2">
        <v>3</v>
      </c>
      <c r="Q9" s="2">
        <v>3</v>
      </c>
      <c r="R9" s="2">
        <v>3</v>
      </c>
    </row>
    <row r="12" spans="2:18" x14ac:dyDescent="0.3">
      <c r="C12" s="30" t="s">
        <v>645</v>
      </c>
      <c r="D12" s="30"/>
      <c r="E12" s="30" t="s">
        <v>644</v>
      </c>
      <c r="F12" s="30"/>
      <c r="G12" s="30" t="s">
        <v>643</v>
      </c>
      <c r="H12" s="30"/>
    </row>
    <row r="13" spans="2:18" x14ac:dyDescent="0.3">
      <c r="C13" s="4" t="s">
        <v>642</v>
      </c>
      <c r="D13" s="4" t="s">
        <v>641</v>
      </c>
      <c r="E13" s="4" t="s">
        <v>642</v>
      </c>
      <c r="F13" s="4" t="s">
        <v>641</v>
      </c>
      <c r="G13" s="4" t="s">
        <v>642</v>
      </c>
      <c r="H13" s="4" t="s">
        <v>641</v>
      </c>
    </row>
    <row r="14" spans="2:18" x14ac:dyDescent="0.3">
      <c r="B14" s="2" t="s">
        <v>396</v>
      </c>
      <c r="C14" s="2">
        <v>39</v>
      </c>
      <c r="D14" s="2">
        <v>35</v>
      </c>
      <c r="E14" s="2">
        <v>169</v>
      </c>
      <c r="F14" s="2">
        <v>170</v>
      </c>
      <c r="G14" s="2">
        <v>67</v>
      </c>
      <c r="H14" s="2">
        <v>68</v>
      </c>
    </row>
    <row r="15" spans="2:18" x14ac:dyDescent="0.3">
      <c r="B15" s="2" t="s">
        <v>526</v>
      </c>
      <c r="C15" s="2">
        <v>38</v>
      </c>
      <c r="D15" s="2">
        <v>33</v>
      </c>
      <c r="E15" s="2">
        <v>168</v>
      </c>
      <c r="F15" s="2">
        <v>170</v>
      </c>
      <c r="G15" s="2">
        <v>68</v>
      </c>
      <c r="H15" s="2">
        <v>68</v>
      </c>
    </row>
    <row r="18" spans="2:20" x14ac:dyDescent="0.3">
      <c r="B18" s="19" t="s">
        <v>389</v>
      </c>
      <c r="C18" s="2" t="s">
        <v>668</v>
      </c>
    </row>
    <row r="20" spans="2:20" x14ac:dyDescent="0.3">
      <c r="B20" s="19" t="s">
        <v>657</v>
      </c>
      <c r="C20" s="19" t="s">
        <v>655</v>
      </c>
      <c r="D20" s="2"/>
      <c r="E20" s="2"/>
      <c r="H20" s="2"/>
      <c r="I20" s="19" t="s">
        <v>655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2:20" x14ac:dyDescent="0.3">
      <c r="B21" s="19" t="s">
        <v>653</v>
      </c>
      <c r="C21" s="2" t="s">
        <v>464</v>
      </c>
      <c r="D21" s="2" t="s">
        <v>395</v>
      </c>
      <c r="E21" s="2" t="s">
        <v>654</v>
      </c>
      <c r="H21" s="2"/>
      <c r="I21" s="22" t="s">
        <v>464</v>
      </c>
      <c r="J21" s="22"/>
      <c r="K21" s="22"/>
      <c r="L21" s="22"/>
      <c r="M21" s="23" t="s">
        <v>395</v>
      </c>
      <c r="N21" s="2"/>
      <c r="O21" s="2"/>
      <c r="P21" s="2"/>
      <c r="Q21" s="2" t="s">
        <v>658</v>
      </c>
      <c r="R21" s="2" t="s">
        <v>661</v>
      </c>
      <c r="S21" s="2" t="s">
        <v>659</v>
      </c>
      <c r="T21" s="2" t="s">
        <v>663</v>
      </c>
    </row>
    <row r="22" spans="2:20" x14ac:dyDescent="0.3">
      <c r="B22" s="20" t="s">
        <v>396</v>
      </c>
      <c r="C22" s="2">
        <v>25</v>
      </c>
      <c r="D22" s="2">
        <v>23</v>
      </c>
      <c r="E22" s="2">
        <v>48</v>
      </c>
      <c r="H22" s="19" t="s">
        <v>653</v>
      </c>
      <c r="I22" s="2" t="s">
        <v>657</v>
      </c>
      <c r="J22" s="2" t="s">
        <v>662</v>
      </c>
      <c r="K22" s="2" t="s">
        <v>660</v>
      </c>
      <c r="L22" s="2" t="s">
        <v>664</v>
      </c>
      <c r="M22" s="2" t="s">
        <v>657</v>
      </c>
      <c r="N22" s="2" t="s">
        <v>662</v>
      </c>
      <c r="O22" s="2" t="s">
        <v>660</v>
      </c>
      <c r="P22" s="2" t="s">
        <v>664</v>
      </c>
      <c r="Q22" s="2"/>
      <c r="R22" s="2"/>
      <c r="S22" s="2"/>
      <c r="T22" s="2"/>
    </row>
    <row r="23" spans="2:20" x14ac:dyDescent="0.3">
      <c r="B23" s="21" t="s">
        <v>440</v>
      </c>
      <c r="C23" s="2">
        <v>8</v>
      </c>
      <c r="D23" s="2">
        <v>6</v>
      </c>
      <c r="E23" s="2">
        <v>14</v>
      </c>
      <c r="H23" s="20" t="s">
        <v>396</v>
      </c>
      <c r="I23" s="22">
        <v>25</v>
      </c>
      <c r="J23" s="24">
        <v>38.56</v>
      </c>
      <c r="K23" s="24">
        <v>168.52</v>
      </c>
      <c r="L23" s="24">
        <v>66.52</v>
      </c>
      <c r="M23" s="23">
        <v>23</v>
      </c>
      <c r="N23" s="25">
        <v>34.565217391304351</v>
      </c>
      <c r="O23" s="25">
        <v>170.47826086956522</v>
      </c>
      <c r="P23" s="25">
        <v>68.217391304347828</v>
      </c>
      <c r="Q23" s="2">
        <v>48</v>
      </c>
      <c r="R23" s="3">
        <v>36.645833333333336</v>
      </c>
      <c r="S23" s="3">
        <v>169.45833333333334</v>
      </c>
      <c r="T23" s="3">
        <v>67.333333333333329</v>
      </c>
    </row>
    <row r="24" spans="2:20" x14ac:dyDescent="0.3">
      <c r="B24" s="21" t="s">
        <v>400</v>
      </c>
      <c r="C24" s="2">
        <v>14</v>
      </c>
      <c r="D24" s="2">
        <v>14</v>
      </c>
      <c r="E24" s="2">
        <v>28</v>
      </c>
      <c r="H24" s="20" t="s">
        <v>526</v>
      </c>
      <c r="I24" s="22">
        <v>25</v>
      </c>
      <c r="J24" s="24">
        <v>37.6</v>
      </c>
      <c r="K24" s="24">
        <v>168.24</v>
      </c>
      <c r="L24" s="24">
        <v>68.28</v>
      </c>
      <c r="M24" s="23">
        <v>23</v>
      </c>
      <c r="N24" s="25">
        <v>32.652173913043477</v>
      </c>
      <c r="O24" s="23">
        <v>170</v>
      </c>
      <c r="P24" s="25">
        <v>67.782608695652172</v>
      </c>
      <c r="Q24" s="2">
        <v>48</v>
      </c>
      <c r="R24" s="3">
        <v>35.229166666666664</v>
      </c>
      <c r="S24" s="3">
        <v>169.08333333333334</v>
      </c>
      <c r="T24" s="3">
        <v>68.041666666666671</v>
      </c>
    </row>
    <row r="25" spans="2:20" x14ac:dyDescent="0.3">
      <c r="B25" s="21" t="s">
        <v>457</v>
      </c>
      <c r="C25" s="2">
        <v>3</v>
      </c>
      <c r="D25" s="2">
        <v>3</v>
      </c>
      <c r="E25" s="2">
        <v>6</v>
      </c>
      <c r="H25" s="20" t="s">
        <v>654</v>
      </c>
      <c r="I25" s="22">
        <v>50</v>
      </c>
      <c r="J25" s="24">
        <v>38.08</v>
      </c>
      <c r="K25" s="24">
        <v>168.38</v>
      </c>
      <c r="L25" s="24">
        <v>67.400000000000006</v>
      </c>
      <c r="M25" s="23">
        <v>46</v>
      </c>
      <c r="N25" s="25">
        <v>33.608695652173914</v>
      </c>
      <c r="O25" s="25">
        <v>170.2391304347826</v>
      </c>
      <c r="P25" s="23">
        <v>68</v>
      </c>
      <c r="Q25" s="2">
        <v>96</v>
      </c>
      <c r="R25" s="3">
        <v>35.9375</v>
      </c>
      <c r="S25" s="3">
        <v>169.27083333333334</v>
      </c>
      <c r="T25" s="3">
        <v>67.6875</v>
      </c>
    </row>
    <row r="26" spans="2:20" x14ac:dyDescent="0.3">
      <c r="B26" s="20" t="s">
        <v>526</v>
      </c>
      <c r="C26" s="2">
        <v>25</v>
      </c>
      <c r="D26" s="2">
        <v>23</v>
      </c>
      <c r="E26" s="2">
        <v>48</v>
      </c>
    </row>
    <row r="27" spans="2:20" x14ac:dyDescent="0.3">
      <c r="B27" s="21" t="s">
        <v>440</v>
      </c>
      <c r="C27" s="2">
        <v>8</v>
      </c>
      <c r="D27" s="2">
        <v>7</v>
      </c>
      <c r="E27" s="2">
        <v>15</v>
      </c>
    </row>
    <row r="28" spans="2:20" x14ac:dyDescent="0.3">
      <c r="B28" s="21" t="s">
        <v>400</v>
      </c>
      <c r="C28" s="2">
        <v>14</v>
      </c>
      <c r="D28" s="2">
        <v>13</v>
      </c>
      <c r="E28" s="2">
        <v>27</v>
      </c>
    </row>
    <row r="29" spans="2:20" x14ac:dyDescent="0.3">
      <c r="B29" s="21" t="s">
        <v>457</v>
      </c>
      <c r="C29" s="2">
        <v>3</v>
      </c>
      <c r="D29" s="2">
        <v>3</v>
      </c>
      <c r="E29" s="2">
        <v>6</v>
      </c>
    </row>
    <row r="30" spans="2:20" x14ac:dyDescent="0.3">
      <c r="B30" s="20" t="s">
        <v>654</v>
      </c>
      <c r="C30" s="2">
        <v>50</v>
      </c>
      <c r="D30" s="2">
        <v>46</v>
      </c>
      <c r="E30" s="2">
        <v>96</v>
      </c>
    </row>
    <row r="31" spans="2:20" x14ac:dyDescent="0.3">
      <c r="H31" s="14" t="s">
        <v>667</v>
      </c>
      <c r="I31" s="14" t="s">
        <v>655</v>
      </c>
    </row>
    <row r="32" spans="2:20" x14ac:dyDescent="0.3">
      <c r="I32" s="18" t="s">
        <v>396</v>
      </c>
      <c r="J32" s="18"/>
      <c r="K32" t="s">
        <v>665</v>
      </c>
      <c r="L32" s="17" t="s">
        <v>526</v>
      </c>
      <c r="M32" s="17"/>
      <c r="N32" t="s">
        <v>666</v>
      </c>
      <c r="O32" t="s">
        <v>654</v>
      </c>
    </row>
    <row r="33" spans="8:15" x14ac:dyDescent="0.3">
      <c r="H33" s="14" t="s">
        <v>653</v>
      </c>
      <c r="I33" t="s">
        <v>395</v>
      </c>
      <c r="J33" t="s">
        <v>464</v>
      </c>
      <c r="L33" s="17" t="s">
        <v>395</v>
      </c>
      <c r="M33" s="17" t="s">
        <v>464</v>
      </c>
    </row>
    <row r="34" spans="8:15" x14ac:dyDescent="0.3">
      <c r="H34" s="15" t="s">
        <v>400</v>
      </c>
      <c r="I34" s="18">
        <v>14</v>
      </c>
      <c r="J34" s="18">
        <v>14</v>
      </c>
      <c r="K34">
        <v>28</v>
      </c>
      <c r="L34" s="17">
        <v>13</v>
      </c>
      <c r="M34" s="17">
        <v>14</v>
      </c>
      <c r="N34">
        <v>27</v>
      </c>
      <c r="O34">
        <v>55</v>
      </c>
    </row>
    <row r="35" spans="8:15" x14ac:dyDescent="0.3">
      <c r="H35" s="15" t="s">
        <v>457</v>
      </c>
      <c r="I35" s="18">
        <v>3</v>
      </c>
      <c r="J35" s="18">
        <v>3</v>
      </c>
      <c r="K35">
        <v>6</v>
      </c>
      <c r="L35" s="17">
        <v>3</v>
      </c>
      <c r="M35" s="17">
        <v>3</v>
      </c>
      <c r="N35">
        <v>6</v>
      </c>
      <c r="O35">
        <v>12</v>
      </c>
    </row>
    <row r="36" spans="8:15" x14ac:dyDescent="0.3">
      <c r="H36" s="15" t="s">
        <v>440</v>
      </c>
      <c r="I36" s="18">
        <v>6</v>
      </c>
      <c r="J36" s="18">
        <v>8</v>
      </c>
      <c r="K36">
        <v>14</v>
      </c>
      <c r="L36" s="17">
        <v>7</v>
      </c>
      <c r="M36" s="17">
        <v>8</v>
      </c>
      <c r="N36">
        <v>15</v>
      </c>
      <c r="O36">
        <v>29</v>
      </c>
    </row>
    <row r="37" spans="8:15" x14ac:dyDescent="0.3">
      <c r="H37" s="15" t="s">
        <v>654</v>
      </c>
      <c r="I37" s="18">
        <v>23</v>
      </c>
      <c r="J37" s="18">
        <v>25</v>
      </c>
      <c r="K37">
        <v>48</v>
      </c>
      <c r="L37" s="17">
        <v>23</v>
      </c>
      <c r="M37" s="17">
        <v>25</v>
      </c>
      <c r="N37">
        <v>48</v>
      </c>
      <c r="O37">
        <v>96</v>
      </c>
    </row>
  </sheetData>
  <mergeCells count="7">
    <mergeCell ref="O4:R4"/>
    <mergeCell ref="C5:I5"/>
    <mergeCell ref="C12:D12"/>
    <mergeCell ref="E12:F12"/>
    <mergeCell ref="G12:H12"/>
    <mergeCell ref="O5:P5"/>
    <mergeCell ref="Q5:R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FC86-86A9-4B4F-AD4E-9360EF88DB66}">
  <dimension ref="B2:AO61"/>
  <sheetViews>
    <sheetView tabSelected="1" zoomScale="52" zoomScaleNormal="89" workbookViewId="0">
      <selection activeCell="U54" sqref="U54"/>
    </sheetView>
  </sheetViews>
  <sheetFormatPr defaultRowHeight="14.4" x14ac:dyDescent="0.3"/>
  <cols>
    <col min="2" max="2" width="17.44140625" bestFit="1" customWidth="1"/>
    <col min="3" max="3" width="10.5546875" bestFit="1" customWidth="1"/>
    <col min="20" max="20" width="13.21875" bestFit="1" customWidth="1"/>
    <col min="21" max="21" width="16.109375" bestFit="1" customWidth="1"/>
    <col min="22" max="40" width="3" bestFit="1" customWidth="1"/>
    <col min="41" max="42" width="10.88671875" bestFit="1" customWidth="1"/>
    <col min="43" max="43" width="7.6640625" bestFit="1" customWidth="1"/>
    <col min="44" max="44" width="5" bestFit="1" customWidth="1"/>
    <col min="45" max="48" width="4" bestFit="1" customWidth="1"/>
    <col min="49" max="49" width="7.6640625" bestFit="1" customWidth="1"/>
    <col min="50" max="50" width="5" bestFit="1" customWidth="1"/>
    <col min="51" max="56" width="4" bestFit="1" customWidth="1"/>
    <col min="57" max="57" width="7.6640625" bestFit="1" customWidth="1"/>
    <col min="58" max="58" width="5" bestFit="1" customWidth="1"/>
    <col min="59" max="61" width="4" bestFit="1" customWidth="1"/>
    <col min="62" max="62" width="7.6640625" bestFit="1" customWidth="1"/>
    <col min="63" max="63" width="5" bestFit="1" customWidth="1"/>
    <col min="64" max="69" width="4" bestFit="1" customWidth="1"/>
    <col min="70" max="70" width="7.6640625" bestFit="1" customWidth="1"/>
    <col min="71" max="71" width="5" bestFit="1" customWidth="1"/>
    <col min="72" max="77" width="4" bestFit="1" customWidth="1"/>
    <col min="78" max="78" width="7.6640625" bestFit="1" customWidth="1"/>
    <col min="79" max="79" width="5" bestFit="1" customWidth="1"/>
    <col min="80" max="84" width="4" bestFit="1" customWidth="1"/>
    <col min="85" max="85" width="7.6640625" bestFit="1" customWidth="1"/>
    <col min="86" max="86" width="5" bestFit="1" customWidth="1"/>
    <col min="87" max="90" width="4" bestFit="1" customWidth="1"/>
    <col min="91" max="91" width="7.6640625" bestFit="1" customWidth="1"/>
    <col min="92" max="92" width="5" bestFit="1" customWidth="1"/>
    <col min="93" max="94" width="4" bestFit="1" customWidth="1"/>
    <col min="95" max="95" width="7.6640625" bestFit="1" customWidth="1"/>
    <col min="96" max="96" width="5" bestFit="1" customWidth="1"/>
    <col min="97" max="103" width="4" bestFit="1" customWidth="1"/>
    <col min="104" max="104" width="7.6640625" bestFit="1" customWidth="1"/>
    <col min="105" max="105" width="5" bestFit="1" customWidth="1"/>
    <col min="106" max="112" width="4" bestFit="1" customWidth="1"/>
    <col min="113" max="113" width="7.6640625" bestFit="1" customWidth="1"/>
    <col min="114" max="114" width="5" bestFit="1" customWidth="1"/>
    <col min="115" max="119" width="4" bestFit="1" customWidth="1"/>
    <col min="120" max="120" width="7.6640625" bestFit="1" customWidth="1"/>
    <col min="121" max="121" width="5" bestFit="1" customWidth="1"/>
    <col min="122" max="122" width="7.6640625" bestFit="1" customWidth="1"/>
    <col min="123" max="123" width="10.88671875" bestFit="1" customWidth="1"/>
    <col min="124" max="126" width="3" bestFit="1" customWidth="1"/>
    <col min="127" max="127" width="8.6640625" bestFit="1" customWidth="1"/>
    <col min="128" max="128" width="10.88671875" bestFit="1" customWidth="1"/>
  </cols>
  <sheetData>
    <row r="2" spans="2:21" x14ac:dyDescent="0.3">
      <c r="C2" s="6" t="s">
        <v>650</v>
      </c>
    </row>
    <row r="4" spans="2:21" x14ac:dyDescent="0.3">
      <c r="B4" s="14" t="s">
        <v>653</v>
      </c>
      <c r="C4" t="s">
        <v>657</v>
      </c>
      <c r="T4" s="14" t="s">
        <v>653</v>
      </c>
      <c r="U4" t="s">
        <v>657</v>
      </c>
    </row>
    <row r="5" spans="2:21" x14ac:dyDescent="0.3">
      <c r="B5" s="15" t="s">
        <v>21</v>
      </c>
      <c r="C5">
        <v>81</v>
      </c>
      <c r="T5" s="15" t="s">
        <v>440</v>
      </c>
      <c r="U5">
        <v>29</v>
      </c>
    </row>
    <row r="6" spans="2:21" x14ac:dyDescent="0.3">
      <c r="B6" s="15" t="s">
        <v>14</v>
      </c>
      <c r="C6">
        <v>5</v>
      </c>
      <c r="T6" s="15" t="s">
        <v>400</v>
      </c>
      <c r="U6">
        <v>55</v>
      </c>
    </row>
    <row r="7" spans="2:21" x14ac:dyDescent="0.3">
      <c r="B7" s="15" t="s">
        <v>9</v>
      </c>
      <c r="C7">
        <v>64</v>
      </c>
      <c r="T7" s="15" t="s">
        <v>457</v>
      </c>
      <c r="U7">
        <v>12</v>
      </c>
    </row>
    <row r="8" spans="2:21" x14ac:dyDescent="0.3">
      <c r="B8" s="15" t="s">
        <v>45</v>
      </c>
      <c r="C8">
        <v>12</v>
      </c>
      <c r="T8" s="15" t="s">
        <v>654</v>
      </c>
      <c r="U8">
        <v>96</v>
      </c>
    </row>
    <row r="9" spans="2:21" x14ac:dyDescent="0.3">
      <c r="B9" s="15" t="s">
        <v>2</v>
      </c>
      <c r="C9">
        <v>32</v>
      </c>
    </row>
    <row r="10" spans="2:21" x14ac:dyDescent="0.3">
      <c r="B10" s="15" t="s">
        <v>35</v>
      </c>
      <c r="C10">
        <v>11</v>
      </c>
    </row>
    <row r="11" spans="2:21" x14ac:dyDescent="0.3">
      <c r="B11" s="15" t="s">
        <v>36</v>
      </c>
      <c r="C11">
        <v>14</v>
      </c>
    </row>
    <row r="12" spans="2:21" x14ac:dyDescent="0.3">
      <c r="B12" s="15" t="s">
        <v>6</v>
      </c>
      <c r="C12">
        <v>3</v>
      </c>
    </row>
    <row r="13" spans="2:21" x14ac:dyDescent="0.3">
      <c r="B13" s="15" t="s">
        <v>49</v>
      </c>
      <c r="C13">
        <v>10</v>
      </c>
    </row>
    <row r="14" spans="2:21" x14ac:dyDescent="0.3">
      <c r="B14" s="15" t="s">
        <v>654</v>
      </c>
      <c r="C14">
        <v>232</v>
      </c>
    </row>
    <row r="30" spans="2:41" x14ac:dyDescent="0.3">
      <c r="B30" s="27" t="s">
        <v>669</v>
      </c>
      <c r="C30" s="28" t="s">
        <v>670</v>
      </c>
      <c r="T30" s="14" t="s">
        <v>657</v>
      </c>
      <c r="U30" s="14" t="s">
        <v>655</v>
      </c>
    </row>
    <row r="31" spans="2:41" x14ac:dyDescent="0.3">
      <c r="B31" s="26" t="s">
        <v>3</v>
      </c>
      <c r="C31" s="2">
        <f ca="1">AVERAGEIF('Источник 1'!E4:F235,'Задание Графики'!B31,'Источник 1'!F4:F235)</f>
        <v>72800</v>
      </c>
      <c r="T31" s="14" t="s">
        <v>653</v>
      </c>
      <c r="U31">
        <v>27</v>
      </c>
      <c r="V31">
        <v>28</v>
      </c>
      <c r="W31">
        <v>29</v>
      </c>
      <c r="X31">
        <v>30</v>
      </c>
      <c r="Y31">
        <v>31</v>
      </c>
      <c r="Z31">
        <v>32</v>
      </c>
      <c r="AA31">
        <v>33</v>
      </c>
      <c r="AB31">
        <v>34</v>
      </c>
      <c r="AC31">
        <v>35</v>
      </c>
      <c r="AD31">
        <v>36</v>
      </c>
      <c r="AE31">
        <v>37</v>
      </c>
      <c r="AF31">
        <v>38</v>
      </c>
      <c r="AG31">
        <v>39</v>
      </c>
      <c r="AH31">
        <v>40</v>
      </c>
      <c r="AI31">
        <v>41</v>
      </c>
      <c r="AJ31">
        <v>42</v>
      </c>
      <c r="AK31">
        <v>43</v>
      </c>
      <c r="AL31">
        <v>44</v>
      </c>
      <c r="AM31">
        <v>45</v>
      </c>
      <c r="AN31">
        <v>47</v>
      </c>
      <c r="AO31" t="s">
        <v>654</v>
      </c>
    </row>
    <row r="32" spans="2:41" x14ac:dyDescent="0.3">
      <c r="B32" s="26" t="s">
        <v>107</v>
      </c>
      <c r="C32" s="2">
        <f ca="1">AVERAGEIF('Источник 1'!E10:F241,'Задание Графики'!B37,'Источник 1'!F10:F241)</f>
        <v>153000</v>
      </c>
      <c r="T32" s="15" t="s">
        <v>395</v>
      </c>
      <c r="U32" s="32">
        <v>1</v>
      </c>
      <c r="V32" s="32">
        <v>1</v>
      </c>
      <c r="W32" s="32">
        <v>1</v>
      </c>
      <c r="X32" s="32">
        <v>5</v>
      </c>
      <c r="Y32" s="32">
        <v>6</v>
      </c>
      <c r="Z32" s="32">
        <v>5</v>
      </c>
      <c r="AA32" s="32">
        <v>3</v>
      </c>
      <c r="AB32" s="32">
        <v>6</v>
      </c>
      <c r="AC32" s="32">
        <v>4</v>
      </c>
      <c r="AD32" s="32">
        <v>6</v>
      </c>
      <c r="AE32" s="32">
        <v>2</v>
      </c>
      <c r="AF32" s="32">
        <v>3</v>
      </c>
      <c r="AG32" s="32">
        <v>2</v>
      </c>
      <c r="AH32" s="32"/>
      <c r="AI32" s="32">
        <v>1</v>
      </c>
      <c r="AJ32" s="32"/>
      <c r="AK32" s="32"/>
      <c r="AL32" s="32"/>
      <c r="AM32" s="32"/>
      <c r="AN32" s="32"/>
      <c r="AO32" s="32">
        <v>46</v>
      </c>
    </row>
    <row r="33" spans="2:41" x14ac:dyDescent="0.3">
      <c r="B33" s="26" t="s">
        <v>111</v>
      </c>
      <c r="C33" s="2">
        <f ca="1">AVERAGEIF('Источник 1'!E11:F242,'Задание Графики'!B38,'Источник 1'!F11:F242)</f>
        <v>47000</v>
      </c>
      <c r="T33" s="15" t="s">
        <v>464</v>
      </c>
      <c r="U33" s="32"/>
      <c r="V33" s="32">
        <v>1</v>
      </c>
      <c r="W33" s="32">
        <v>3</v>
      </c>
      <c r="X33" s="32"/>
      <c r="Y33" s="32"/>
      <c r="Z33" s="32"/>
      <c r="AA33" s="32">
        <v>1</v>
      </c>
      <c r="AB33" s="32">
        <v>3</v>
      </c>
      <c r="AC33" s="32">
        <v>4</v>
      </c>
      <c r="AD33" s="32">
        <v>2</v>
      </c>
      <c r="AE33" s="32">
        <v>4</v>
      </c>
      <c r="AF33" s="32">
        <v>7</v>
      </c>
      <c r="AG33" s="32">
        <v>8</v>
      </c>
      <c r="AH33" s="32">
        <v>6</v>
      </c>
      <c r="AI33" s="32">
        <v>2</v>
      </c>
      <c r="AJ33" s="32">
        <v>2</v>
      </c>
      <c r="AK33" s="32">
        <v>3</v>
      </c>
      <c r="AL33" s="32">
        <v>1</v>
      </c>
      <c r="AM33" s="32">
        <v>2</v>
      </c>
      <c r="AN33" s="32">
        <v>1</v>
      </c>
      <c r="AO33" s="32">
        <v>50</v>
      </c>
    </row>
    <row r="34" spans="2:41" x14ac:dyDescent="0.3">
      <c r="B34" s="26" t="s">
        <v>235</v>
      </c>
      <c r="C34" s="2">
        <f ca="1">AVERAGEIF('Источник 1'!E22:F253,'Задание Графики'!B49,'Источник 1'!F22:F253)</f>
        <v>93000</v>
      </c>
      <c r="T34" s="15" t="s">
        <v>654</v>
      </c>
      <c r="U34" s="32">
        <v>1</v>
      </c>
      <c r="V34" s="32">
        <v>2</v>
      </c>
      <c r="W34" s="32">
        <v>4</v>
      </c>
      <c r="X34" s="32">
        <v>5</v>
      </c>
      <c r="Y34" s="32">
        <v>6</v>
      </c>
      <c r="Z34" s="32">
        <v>5</v>
      </c>
      <c r="AA34" s="32">
        <v>4</v>
      </c>
      <c r="AB34" s="32">
        <v>9</v>
      </c>
      <c r="AC34" s="32">
        <v>8</v>
      </c>
      <c r="AD34" s="32">
        <v>8</v>
      </c>
      <c r="AE34" s="32">
        <v>6</v>
      </c>
      <c r="AF34" s="32">
        <v>10</v>
      </c>
      <c r="AG34" s="32">
        <v>10</v>
      </c>
      <c r="AH34" s="32">
        <v>6</v>
      </c>
      <c r="AI34" s="32">
        <v>3</v>
      </c>
      <c r="AJ34" s="32">
        <v>2</v>
      </c>
      <c r="AK34" s="32">
        <v>3</v>
      </c>
      <c r="AL34" s="32">
        <v>1</v>
      </c>
      <c r="AM34" s="32">
        <v>2</v>
      </c>
      <c r="AN34" s="32">
        <v>1</v>
      </c>
      <c r="AO34" s="32">
        <v>96</v>
      </c>
    </row>
    <row r="35" spans="2:41" x14ac:dyDescent="0.3">
      <c r="B35" s="26" t="s">
        <v>238</v>
      </c>
      <c r="C35" s="2">
        <f ca="1">AVERAGEIF('Источник 1'!E23:F254,'Задание Графики'!B50,'Источник 1'!F23:F254)</f>
        <v>110000</v>
      </c>
    </row>
    <row r="36" spans="2:41" x14ac:dyDescent="0.3">
      <c r="B36" s="26" t="s">
        <v>221</v>
      </c>
      <c r="C36" s="2">
        <f ca="1">AVERAGEIF('Источник 1'!E20:F251,'Задание Графики'!B47,'Источник 1'!F20:F251)</f>
        <v>68000</v>
      </c>
      <c r="T36" s="33"/>
      <c r="U36" s="33">
        <v>27</v>
      </c>
      <c r="V36" s="33">
        <v>28</v>
      </c>
      <c r="W36" s="33">
        <v>29</v>
      </c>
      <c r="X36" s="33">
        <v>30</v>
      </c>
      <c r="Y36" s="33">
        <v>31</v>
      </c>
      <c r="Z36" s="33">
        <v>32</v>
      </c>
      <c r="AA36" s="33">
        <v>33</v>
      </c>
      <c r="AB36" s="33">
        <v>34</v>
      </c>
      <c r="AC36" s="33">
        <v>35</v>
      </c>
      <c r="AD36" s="33">
        <v>36</v>
      </c>
      <c r="AE36" s="33">
        <v>37</v>
      </c>
      <c r="AF36" s="33">
        <v>38</v>
      </c>
      <c r="AG36" s="33">
        <v>39</v>
      </c>
      <c r="AH36" s="33">
        <v>40</v>
      </c>
      <c r="AI36" s="33">
        <v>41</v>
      </c>
      <c r="AJ36" s="33">
        <v>42</v>
      </c>
      <c r="AK36" s="33">
        <v>43</v>
      </c>
      <c r="AL36" s="33">
        <v>44</v>
      </c>
      <c r="AM36" s="33">
        <v>45</v>
      </c>
      <c r="AN36" s="33">
        <v>47</v>
      </c>
      <c r="AO36" s="31"/>
    </row>
    <row r="37" spans="2:41" x14ac:dyDescent="0.3">
      <c r="B37" s="26" t="s">
        <v>87</v>
      </c>
      <c r="C37" s="2">
        <f ca="1">AVERAGEIF('Источник 1'!E7:F238,'Задание Графики'!B34,'Источник 1'!F7:F238)</f>
        <v>70000</v>
      </c>
      <c r="T37" s="34" t="s">
        <v>671</v>
      </c>
      <c r="U37" s="35">
        <v>1</v>
      </c>
      <c r="V37" s="35">
        <v>1</v>
      </c>
      <c r="W37" s="35">
        <v>1</v>
      </c>
      <c r="X37" s="35">
        <v>5</v>
      </c>
      <c r="Y37" s="35">
        <v>6</v>
      </c>
      <c r="Z37" s="35">
        <v>5</v>
      </c>
      <c r="AA37" s="35">
        <v>3</v>
      </c>
      <c r="AB37" s="35">
        <v>6</v>
      </c>
      <c r="AC37" s="35">
        <v>4</v>
      </c>
      <c r="AD37" s="35">
        <v>6</v>
      </c>
      <c r="AE37" s="35">
        <v>2</v>
      </c>
      <c r="AF37" s="35">
        <v>3</v>
      </c>
      <c r="AG37" s="35">
        <v>2</v>
      </c>
      <c r="AH37" s="35"/>
      <c r="AI37" s="35">
        <v>1</v>
      </c>
      <c r="AJ37" s="35"/>
      <c r="AK37" s="35"/>
      <c r="AL37" s="35"/>
      <c r="AM37" s="35"/>
      <c r="AN37" s="35"/>
      <c r="AO37" s="31"/>
    </row>
    <row r="38" spans="2:41" x14ac:dyDescent="0.3">
      <c r="B38" s="26" t="s">
        <v>91</v>
      </c>
      <c r="C38" s="2">
        <f ca="1">AVERAGEIF('Источник 1'!E8:F239,'Задание Графики'!B35,'Источник 1'!F8:F239)</f>
        <v>55285.714285714283</v>
      </c>
      <c r="T38" s="34" t="s">
        <v>672</v>
      </c>
      <c r="U38" s="35"/>
      <c r="V38" s="35">
        <v>1</v>
      </c>
      <c r="W38" s="35">
        <v>3</v>
      </c>
      <c r="X38" s="35"/>
      <c r="Y38" s="35"/>
      <c r="Z38" s="35"/>
      <c r="AA38" s="35">
        <v>1</v>
      </c>
      <c r="AB38" s="35">
        <v>3</v>
      </c>
      <c r="AC38" s="35">
        <v>4</v>
      </c>
      <c r="AD38" s="35">
        <v>2</v>
      </c>
      <c r="AE38" s="35">
        <v>4</v>
      </c>
      <c r="AF38" s="35">
        <v>7</v>
      </c>
      <c r="AG38" s="35">
        <v>8</v>
      </c>
      <c r="AH38" s="35">
        <v>6</v>
      </c>
      <c r="AI38" s="35">
        <v>2</v>
      </c>
      <c r="AJ38" s="35">
        <v>2</v>
      </c>
      <c r="AK38" s="35">
        <v>3</v>
      </c>
      <c r="AL38" s="35">
        <v>1</v>
      </c>
      <c r="AM38" s="35">
        <v>2</v>
      </c>
      <c r="AN38" s="35">
        <v>1</v>
      </c>
      <c r="AO38" s="31"/>
    </row>
    <row r="39" spans="2:41" x14ac:dyDescent="0.3">
      <c r="B39" s="26" t="s">
        <v>95</v>
      </c>
      <c r="C39" s="2">
        <f ca="1">AVERAGEIF('Источник 1'!E9:F240,'Задание Графики'!B36,'Источник 1'!F9:F240)</f>
        <v>37900</v>
      </c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</row>
    <row r="40" spans="2:41" x14ac:dyDescent="0.3">
      <c r="B40" s="26" t="s">
        <v>129</v>
      </c>
      <c r="C40" s="2">
        <f ca="1">AVERAGEIF('Источник 1'!E12:F243,'Задание Графики'!B39,'Источник 1'!F12:F243)</f>
        <v>50500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</row>
    <row r="41" spans="2:41" x14ac:dyDescent="0.3">
      <c r="B41" s="26" t="s">
        <v>150</v>
      </c>
      <c r="C41" s="2">
        <f ca="1">AVERAGEIF('Источник 1'!E13:F244,'Задание Графики'!B40,'Источник 1'!F13:F244)</f>
        <v>74125</v>
      </c>
    </row>
    <row r="42" spans="2:41" x14ac:dyDescent="0.3">
      <c r="B42" s="26" t="s">
        <v>163</v>
      </c>
      <c r="C42" s="2">
        <f ca="1">AVERAGEIF('Источник 1'!E14:F245,'Задание Графики'!B41,'Источник 1'!F14:F245)</f>
        <v>77500</v>
      </c>
    </row>
    <row r="43" spans="2:41" x14ac:dyDescent="0.3">
      <c r="B43" s="26" t="s">
        <v>176</v>
      </c>
      <c r="C43" s="2">
        <f ca="1">AVERAGEIF('Источник 1'!E15:F246,'Задание Графики'!B42,'Источник 1'!F15:F246)</f>
        <v>60000</v>
      </c>
    </row>
    <row r="44" spans="2:41" x14ac:dyDescent="0.3">
      <c r="B44" s="26" t="s">
        <v>195</v>
      </c>
      <c r="C44" s="2">
        <f ca="1">AVERAGEIF('Источник 1'!E16:F247,'Задание Графики'!B43,'Источник 1'!F16:F247)</f>
        <v>43428.571428571428</v>
      </c>
    </row>
    <row r="45" spans="2:41" x14ac:dyDescent="0.3">
      <c r="B45" s="26" t="s">
        <v>198</v>
      </c>
      <c r="C45" s="2">
        <f ca="1">AVERAGEIF('Источник 1'!E17:F248,'Задание Графики'!B44,'Источник 1'!F17:F248)</f>
        <v>150000</v>
      </c>
    </row>
    <row r="46" spans="2:41" x14ac:dyDescent="0.3">
      <c r="B46" s="26" t="s">
        <v>204</v>
      </c>
      <c r="C46" s="2">
        <f ca="1">AVERAGEIF('Источник 1'!E18:F249,'Задание Графики'!B45,'Источник 1'!F18:F249)</f>
        <v>107500</v>
      </c>
    </row>
    <row r="47" spans="2:41" x14ac:dyDescent="0.3">
      <c r="B47" s="26" t="s">
        <v>212</v>
      </c>
      <c r="C47" s="2">
        <f ca="1">AVERAGEIF('Источник 1'!E19:F250,'Задание Графики'!B46,'Источник 1'!F19:F250)</f>
        <v>68600</v>
      </c>
    </row>
    <row r="48" spans="2:41" x14ac:dyDescent="0.3">
      <c r="B48" s="26" t="s">
        <v>230</v>
      </c>
      <c r="C48" s="2">
        <f ca="1">AVERAGEIF('Источник 1'!E21:F252,'Задание Графики'!B48,'Источник 1'!F21:F252)</f>
        <v>67000</v>
      </c>
    </row>
    <row r="49" spans="2:3" x14ac:dyDescent="0.3">
      <c r="B49" s="26" t="s">
        <v>248</v>
      </c>
      <c r="C49" s="2">
        <f ca="1">AVERAGEIF('Источник 1'!E24:F255,'Задание Графики'!B51,'Источник 1'!F24:F255)</f>
        <v>85000</v>
      </c>
    </row>
    <row r="50" spans="2:3" x14ac:dyDescent="0.3">
      <c r="B50" s="26" t="s">
        <v>78</v>
      </c>
      <c r="C50" s="2">
        <f ca="1">AVERAGEIF('Источник 1'!E6:F237,'Задание Графики'!B33,'Источник 1'!F6:F237)</f>
        <v>52736.84210526316</v>
      </c>
    </row>
    <row r="51" spans="2:3" x14ac:dyDescent="0.3">
      <c r="B51" s="26" t="s">
        <v>351</v>
      </c>
      <c r="C51" s="2">
        <f ca="1">AVERAGEIF('Источник 1'!E34:F265,'Задание Графики'!B61,'Источник 1'!F34:F265)</f>
        <v>85400</v>
      </c>
    </row>
    <row r="52" spans="2:3" x14ac:dyDescent="0.3">
      <c r="B52" s="26" t="s">
        <v>346</v>
      </c>
      <c r="C52" s="2">
        <f ca="1">AVERAGEIF('Источник 1'!E33:F264,'Задание Графики'!B60,'Источник 1'!F33:F264)</f>
        <v>76666.666666666672</v>
      </c>
    </row>
    <row r="53" spans="2:3" x14ac:dyDescent="0.3">
      <c r="B53" s="26" t="s">
        <v>324</v>
      </c>
      <c r="C53" s="2">
        <f ca="1">AVERAGEIF('Источник 1'!E32:F263,'Задание Графики'!B59,'Источник 1'!F32:F263)</f>
        <v>81666.666666666672</v>
      </c>
    </row>
    <row r="54" spans="2:3" x14ac:dyDescent="0.3">
      <c r="B54" s="26" t="s">
        <v>322</v>
      </c>
      <c r="C54" s="2">
        <f ca="1">AVERAGEIF('Источник 1'!E31:F262,'Задание Графики'!B58,'Источник 1'!F31:F262)</f>
        <v>123000</v>
      </c>
    </row>
    <row r="55" spans="2:3" x14ac:dyDescent="0.3">
      <c r="B55" s="26" t="s">
        <v>320</v>
      </c>
      <c r="C55" s="2">
        <f ca="1">AVERAGEIF('Источник 1'!E30:F261,'Задание Графики'!B57,'Источник 1'!F30:F261)</f>
        <v>150000</v>
      </c>
    </row>
    <row r="56" spans="2:3" x14ac:dyDescent="0.3">
      <c r="B56" s="26" t="s">
        <v>311</v>
      </c>
      <c r="C56" s="2">
        <f ca="1">AVERAGEIF('Источник 1'!E29:F260,'Задание Графики'!B56,'Источник 1'!F29:F260)</f>
        <v>68666.666666666672</v>
      </c>
    </row>
    <row r="57" spans="2:3" x14ac:dyDescent="0.3">
      <c r="B57" s="26" t="s">
        <v>299</v>
      </c>
      <c r="C57" s="2">
        <f ca="1">AVERAGEIF('Источник 1'!E28:F259,'Задание Графики'!B55,'Источник 1'!F28:F259)</f>
        <v>250000</v>
      </c>
    </row>
    <row r="58" spans="2:3" x14ac:dyDescent="0.3">
      <c r="B58" s="26" t="s">
        <v>295</v>
      </c>
      <c r="C58" s="2">
        <f ca="1">AVERAGEIF('Источник 1'!E27:F258,'Задание Графики'!B54,'Источник 1'!F27:F258)</f>
        <v>134500</v>
      </c>
    </row>
    <row r="59" spans="2:3" x14ac:dyDescent="0.3">
      <c r="B59" s="26" t="s">
        <v>289</v>
      </c>
      <c r="C59" s="2">
        <f ca="1">AVERAGEIF('Источник 1'!E26:F257,'Задание Графики'!B53,'Источник 1'!F26:F257)</f>
        <v>46500</v>
      </c>
    </row>
    <row r="60" spans="2:3" x14ac:dyDescent="0.3">
      <c r="B60" s="26" t="s">
        <v>282</v>
      </c>
      <c r="C60" s="2">
        <f ca="1">AVERAGEIF('Источник 1'!E25:F256,'Задание Графики'!B52,'Источник 1'!F25:F256)</f>
        <v>115500</v>
      </c>
    </row>
    <row r="61" spans="2:3" x14ac:dyDescent="0.3">
      <c r="B61" s="26" t="s">
        <v>69</v>
      </c>
      <c r="C61" s="2">
        <f ca="1">AVERAGEIF('Источник 1'!E5:F236,'Задание Графики'!B32,'Источник 1'!F5:F236)</f>
        <v>73500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Источник 1</vt:lpstr>
      <vt:lpstr>Задания 1.1</vt:lpstr>
      <vt:lpstr>Задания 1.2</vt:lpstr>
      <vt:lpstr>Sheet1</vt:lpstr>
      <vt:lpstr>Источник 2</vt:lpstr>
      <vt:lpstr>Задание 2.1</vt:lpstr>
      <vt:lpstr>Задание Графики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Abduvakhit Junussov</dc:creator>
  <cp:lastModifiedBy>Нурай Садуова</cp:lastModifiedBy>
  <dcterms:created xsi:type="dcterms:W3CDTF">2023-10-30T16:01:34Z</dcterms:created>
  <dcterms:modified xsi:type="dcterms:W3CDTF">2026-03-06T01:36:09Z</dcterms:modified>
</cp:coreProperties>
</file>